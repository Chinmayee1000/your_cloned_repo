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B9E98C40-2704-4911-8CA9-DFA3F07FBBEA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pivotCaches>
    <pivotCache cacheId="0" r:id="rId8"/>
  </pivotCaches>
</workbook>
</file>

<file path=xl/calcChain.xml><?xml version="1.0" encoding="utf-8"?>
<calcChain xmlns="http://schemas.openxmlformats.org/spreadsheetml/2006/main">
  <c r="D12" i="19" l="1"/>
  <c r="D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M21" i="20"/>
  <c r="D13" i="19"/>
  <c r="D14" i="19"/>
  <c r="D15" i="19"/>
  <c r="D16" i="19"/>
  <c r="D17" i="19"/>
  <c r="D18" i="19"/>
  <c r="D19" i="19"/>
  <c r="D20" i="19"/>
  <c r="D21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Z3" i="1"/>
  <c r="B17" i="16" l="1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</calcChain>
</file>

<file path=xl/sharedStrings.xml><?xml version="1.0" encoding="utf-8"?>
<sst xmlns="http://schemas.openxmlformats.org/spreadsheetml/2006/main" count="623" uniqueCount="191">
  <si>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</si>
  <si>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</si>
  <si>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</si>
  <si>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</si>
  <si>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</si>
  <si>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</si>
  <si>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</si>
  <si>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</si>
  <si>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</si>
  <si>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</si>
  <si>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</si>
  <si>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</si>
  <si>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</si>
  <si>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</si>
  <si>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</si>
  <si>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</si>
  <si>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</si>
  <si>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</si>
  <si>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</si>
  <si>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</si>
  <si>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</si>
  <si>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</si>
  <si>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</si>
  <si>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</si>
  <si>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</si>
  <si>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</si>
  <si>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</si>
  <si>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</si>
  <si>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</si>
  <si>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</si>
  <si>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</si>
  <si>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</si>
  <si>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</si>
  <si>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</si>
  <si>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</si>
  <si>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</si>
  <si>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</si>
  <si>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</si>
  <si>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</si>
  <si>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</si>
  <si>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</si>
  <si>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</si>
  <si>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</si>
  <si>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</si>
  <si>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</si>
  <si>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</si>
  <si>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</si>
  <si>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</si>
  <si>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</si>
  <si>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</si>
  <si>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</si>
  <si>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</si>
  <si>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</si>
  <si>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</si>
  <si>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</si>
  <si>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</si>
  <si>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</si>
  <si>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</si>
  <si>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</si>
  <si>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</si>
  <si>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</si>
  <si>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</si>
  <si>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</si>
  <si>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</si>
  <si>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</si>
  <si>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</si>
  <si>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</si>
  <si>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</si>
  <si>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</si>
  <si>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</si>
  <si>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</si>
  <si>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</si>
  <si>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</si>
  <si>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</si>
  <si>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</si>
  <si>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</si>
  <si>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</si>
  <si>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</si>
  <si>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</si>
  <si>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</si>
  <si>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</si>
  <si>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</si>
  <si>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</si>
  <si>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</si>
  <si>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</si>
  <si>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</si>
  <si>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</si>
  <si>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</si>
  <si>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</si>
  <si>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</si>
  <si>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</si>
  <si>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</si>
  <si>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</si>
  <si>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</si>
  <si>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</si>
  <si>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</si>
  <si>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</si>
  <si>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</si>
  <si>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</si>
  <si>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</si>
  <si>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</si>
  <si>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</si>
  <si>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</si>
  <si>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</si>
  <si>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</si>
  <si>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</si>
  <si>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</si>
  <si>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</si>
  <si>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</si>
  <si>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</si>
  <si>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</si>
  <si>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</si>
  <si>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</si>
  <si>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</si>
  <si>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</si>
  <si>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</si>
  <si>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</si>
  <si>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</si>
  <si>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</si>
  <si>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</si>
  <si>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</si>
  <si>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</si>
  <si>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</si>
  <si>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</si>
  <si>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</si>
  <si>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</si>
  <si>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</si>
  <si>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</si>
  <si>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</si>
  <si>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</si>
  <si>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</si>
  <si>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</si>
  <si>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</si>
  <si>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</si>
  <si>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</si>
  <si>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</si>
  <si>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</si>
  <si>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</si>
  <si>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</si>
  <si>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</si>
  <si>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</si>
  <si>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</si>
  <si>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</si>
  <si>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</si>
  <si>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</si>
  <si>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</si>
  <si>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</si>
  <si>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</si>
  <si>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</si>
  <si>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</si>
  <si>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</si>
  <si>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</si>
  <si>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</si>
  <si>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</si>
  <si>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</si>
  <si>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</si>
  <si>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</si>
  <si>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</si>
  <si>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</si>
  <si>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</si>
  <si>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</si>
  <si>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</si>
  <si>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</si>
  <si>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</si>
  <si>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</si>
  <si>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</si>
  <si>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</si>
  <si>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</si>
  <si>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</si>
  <si>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</si>
  <si>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</si>
  <si>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</si>
  <si>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</si>
  <si>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</si>
  <si>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</si>
  <si>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</si>
  <si>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</si>
  <si>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Grand Total</t>
  </si>
  <si>
    <t>Row Labels</t>
  </si>
  <si>
    <t>Sum of car1</t>
  </si>
  <si>
    <t>Sum of bus2</t>
  </si>
  <si>
    <t>Sum of rv3</t>
  </si>
  <si>
    <t>Sum of truck2</t>
  </si>
  <si>
    <t>Sum of taxi2</t>
  </si>
  <si>
    <t>SUMIFS(H2:H12, H2:H12, "&gt;20")</t>
  </si>
  <si>
    <t>SALES</t>
  </si>
  <si>
    <t>INDEX AND MATCH FUNCTION USED</t>
  </si>
  <si>
    <t>IFERROR(C12,20)</t>
  </si>
  <si>
    <t>iferror function used</t>
  </si>
  <si>
    <t>text to column used</t>
  </si>
  <si>
    <t>text to column remove delimeter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</si>
</sst>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1" xfId="0" applyFont="1" applyBorder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269.576641319443" createdVersion="8" refreshedVersion="8" minRefreshableVersion="3" recordCount="39" xr:uid="{8440FF87-C3AD-46DE-9933-038DD9B2D581}">
  <cacheSource type="worksheet">
    <worksheetSource ref="A1:X40" sheet="Dataset"/>
  </cacheSource>
  <cacheFields count="24">
    <cacheField name="name" numFmtId="0">
      <sharedItems count="39">
        <s v="Warrendale"/>
        <s v="Butler Valley"/>
        <s v="Allegheny Valley"/>
        <s v="Pittsburgh"/>
        <s v="Irwin"/>
        <s v="New Stanton"/>
        <s v="Donegal"/>
        <s v="Somerset"/>
        <s v="Bedford"/>
        <s v="Breezewood"/>
        <s v="Fort Littleton"/>
        <s v="Willow Hill"/>
        <s v="Blue Mountain"/>
        <s v="Carlisle"/>
        <s v="Gettysburg Pike"/>
        <s v="Harrisburg West"/>
        <s v="Harrisburg East"/>
        <s v="Lebanon-Lancaster"/>
        <s v="Reading"/>
        <s v="Morgantown"/>
        <s v="Downingtown"/>
        <s v="S.R. 29"/>
        <s v="Valley Forge"/>
        <s v="Norristown"/>
        <s v="Fort Washington"/>
        <s v="Virginia Drive "/>
        <s v="Willow Grove"/>
        <s v="Bensalem"/>
        <s v="St. Rd "/>
        <s v="Neshaminy Falls"/>
        <s v="Mid-County"/>
        <s v="Lansdale"/>
        <s v="Quakertown"/>
        <s v="Lehigh Valley"/>
        <s v="Mahoning Valley"/>
        <s v="S.R. 903"/>
        <s v="Pocono"/>
        <s v="Wilkes-Barre"/>
        <s v="Wyoming Valley"/>
      </sharedItems>
    </cacheField>
    <cacheField name="ID" numFmtId="0">
      <sharedItems containsSemiMixedTypes="0" containsString="0" containsNumber="1" containsInteger="1" minValue="20000" maxValue="21016"/>
    </cacheField>
    <cacheField name="start_day" numFmtId="0">
      <sharedItems/>
    </cacheField>
    <cacheField name="start_time" numFmtId="164">
      <sharedItems containsSemiMixedTypes="0" containsNonDate="0" containsDate="1" containsString="0" minDate="1899-12-30T00:00:00" maxDate="1899-12-31T00:00:00"/>
    </cacheField>
    <cacheField name="end_day" numFmtId="0">
      <sharedItems/>
    </cacheField>
    <cacheField name="end_time" numFmtId="164">
      <sharedItems containsSemiMixedTypes="0" containsNonDate="0" containsDate="1" containsString="0" minDate="1899-12-30T23:59:59" maxDate="1899-12-30T23:59:59"/>
    </cacheField>
    <cacheField name="car1" numFmtId="0">
      <sharedItems containsSemiMixedTypes="0" containsString="0" containsNumber="1" minValue="-1" maxValue="51.8" count="35">
        <n v="2.7"/>
        <n v="3.6"/>
        <n v="4.9000000000000004"/>
        <n v="6.6"/>
        <n v="7.1"/>
        <n v="9.4"/>
        <n v="11.6"/>
        <n v="16.100000000000001"/>
        <n v="18.399999999999999"/>
        <n v="0"/>
        <n v="21.9"/>
        <n v="23.5"/>
        <n v="26.8"/>
        <n v="28"/>
        <n v="28.5"/>
        <n v="29.1"/>
        <n v="30.7"/>
        <n v="33.799999999999997"/>
        <n v="34.700000000000003"/>
        <n v="36.5"/>
        <n v="38"/>
        <n v="38.700000000000003"/>
        <n v="40.1"/>
        <n v="41.3"/>
        <n v="42.3"/>
        <n v="43.3"/>
        <n v="-1"/>
        <n v="45"/>
        <n v="41.5"/>
        <n v="44.5"/>
        <n v="47.3"/>
        <n v="48.3"/>
        <n v="49.1"/>
        <n v="50.6"/>
        <n v="51.8"/>
      </sharedItems>
    </cacheField>
    <cacheField name="car2" numFmtId="0">
      <sharedItems containsSemiMixedTypes="0" containsString="0" containsNumber="1" minValue="-1" maxValue="77.2"/>
    </cacheField>
    <cacheField name="car3" numFmtId="0">
      <sharedItems containsSemiMixedTypes="0" containsString="0" containsNumber="1" minValue="-1" maxValue="93.1"/>
    </cacheField>
    <cacheField name="moto1" numFmtId="0">
      <sharedItems containsSemiMixedTypes="0" containsString="0" containsNumber="1" containsInteger="1" minValue="-1" maxValue="0"/>
    </cacheField>
    <cacheField name="moto2" numFmtId="0">
      <sharedItems containsSemiMixedTypes="0" containsString="0" containsNumber="1" containsInteger="1" minValue="-1" maxValue="0"/>
    </cacheField>
    <cacheField name="moto3" numFmtId="0">
      <sharedItems containsSemiMixedTypes="0" containsString="0" containsNumber="1" containsInteger="1" minValue="-1" maxValue="0"/>
    </cacheField>
    <cacheField name="bus1" numFmtId="0">
      <sharedItems containsSemiMixedTypes="0" containsString="0" containsNumber="1" minValue="-1" maxValue="104.5"/>
    </cacheField>
    <cacheField name="bus2" numFmtId="0">
      <sharedItems containsSemiMixedTypes="0" containsString="0" containsNumber="1" minValue="-1" maxValue="156.4"/>
    </cacheField>
    <cacheField name="bus3" numFmtId="0">
      <sharedItems containsSemiMixedTypes="0" containsString="0" containsNumber="1" minValue="-1" maxValue="188.1"/>
    </cacheField>
    <cacheField name="rv1" numFmtId="0">
      <sharedItems containsSemiMixedTypes="0" containsString="0" containsNumber="1" minValue="-1" maxValue="51.8"/>
    </cacheField>
    <cacheField name="rv2" numFmtId="0">
      <sharedItems containsSemiMixedTypes="0" containsString="0" containsNumber="1" minValue="-1" maxValue="77.2"/>
    </cacheField>
    <cacheField name="rv3" numFmtId="0">
      <sharedItems containsSemiMixedTypes="0" containsString="0" containsNumber="1" minValue="-1" maxValue="93.1"/>
    </cacheField>
    <cacheField name="truck1" numFmtId="0">
      <sharedItems containsSemiMixedTypes="0" containsString="0" containsNumber="1" minValue="-1" maxValue="156.4"/>
    </cacheField>
    <cacheField name="truck2" numFmtId="0">
      <sharedItems containsSemiMixedTypes="0" containsString="0" containsNumber="1" minValue="-1" maxValue="188.1"/>
    </cacheField>
    <cacheField name="taxi1" numFmtId="0">
      <sharedItems containsSemiMixedTypes="0" containsString="0" containsNumber="1" minValue="-1" maxValue="77.2"/>
    </cacheField>
    <cacheField name="taxi2" numFmtId="0">
      <sharedItems containsSemiMixedTypes="0" containsString="0" containsNumber="1" minValue="-1" maxValue="93.1"/>
    </cacheField>
    <cacheField name="taxi3" numFmtId="0">
      <sharedItems containsSemiMixedTypes="0" containsString="0" containsNumber="1" minValue="-1" maxValue="93.1"/>
    </cacheField>
    <cacheField name="date" numFmtId="166">
      <sharedItems containsSemiMixedTypes="0" containsNonDate="0" containsDate="1" containsString="0" minDate="2023-05-02T00:00:00" maxDate="2023-09-1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0000"/>
    <s v="Monday"/>
    <d v="1899-12-30T00:00:00"/>
    <s v="Sunday"/>
    <d v="1899-12-30T23:59:59"/>
    <x v="0"/>
    <n v="3.6"/>
    <n v="4.2"/>
    <n v="-1"/>
    <n v="-1"/>
    <n v="-1"/>
    <n v="5.3"/>
    <n v="7.6"/>
    <n v="8.9"/>
    <n v="2.7"/>
    <n v="3.6"/>
    <n v="4.2"/>
    <n v="7.6"/>
    <n v="8.9"/>
    <n v="3.6"/>
    <n v="4.2"/>
    <n v="4.2"/>
    <d v="2023-05-05T00:00:00"/>
  </r>
  <r>
    <x v="1"/>
    <n v="20002"/>
    <s v="Monday"/>
    <d v="1899-12-30T00:00:00"/>
    <s v="Sunday"/>
    <d v="1899-12-30T23:59:59"/>
    <x v="0"/>
    <n v="3.6"/>
    <n v="4.2"/>
    <n v="-1"/>
    <n v="-1"/>
    <n v="-1"/>
    <n v="5.3"/>
    <n v="7.6"/>
    <n v="8.9"/>
    <n v="2.7"/>
    <n v="3.6"/>
    <n v="4.2"/>
    <n v="7.6"/>
    <n v="8.9"/>
    <n v="3.6"/>
    <n v="4.2"/>
    <n v="4.2"/>
    <d v="2023-05-02T00:00:00"/>
  </r>
  <r>
    <x v="2"/>
    <n v="20004"/>
    <s v="Monday"/>
    <d v="1899-12-30T00:00:00"/>
    <s v="Sunday"/>
    <d v="1899-12-30T23:59:59"/>
    <x v="1"/>
    <n v="5.4"/>
    <n v="5.8"/>
    <n v="-1"/>
    <n v="-1"/>
    <n v="-1"/>
    <n v="7.6"/>
    <n v="11.1"/>
    <n v="12.2"/>
    <n v="3.6"/>
    <n v="5.4"/>
    <n v="5.8"/>
    <n v="11.1"/>
    <n v="12.2"/>
    <n v="5.4"/>
    <n v="5.8"/>
    <n v="5.8"/>
    <d v="2023-05-09T00:00:00"/>
  </r>
  <r>
    <x v="3"/>
    <n v="20006"/>
    <s v="Monday"/>
    <d v="1899-12-30T00:00:00"/>
    <s v="Sunday"/>
    <d v="1899-12-30T23:59:59"/>
    <x v="2"/>
    <n v="6.6"/>
    <n v="8.1"/>
    <n v="-1"/>
    <n v="-1"/>
    <n v="-1"/>
    <n v="10"/>
    <n v="13.3"/>
    <n v="17"/>
    <n v="4.9000000000000004"/>
    <n v="6.6"/>
    <n v="8.1"/>
    <n v="13.3"/>
    <n v="17"/>
    <n v="6.6"/>
    <n v="8.1"/>
    <n v="8.1"/>
    <d v="2023-05-13T00:00:00"/>
  </r>
  <r>
    <x v="4"/>
    <n v="20008"/>
    <s v="Monday"/>
    <d v="1899-12-30T00:00:00"/>
    <s v="Sunday"/>
    <d v="1899-12-30T23:59:59"/>
    <x v="3"/>
    <n v="8.8000000000000007"/>
    <n v="11"/>
    <n v="-1"/>
    <n v="-1"/>
    <n v="-1"/>
    <n v="13.3"/>
    <n v="18"/>
    <n v="22.5"/>
    <n v="6.6"/>
    <n v="8.8000000000000007"/>
    <n v="11"/>
    <n v="18"/>
    <n v="22.5"/>
    <n v="8.8000000000000007"/>
    <n v="11"/>
    <n v="11"/>
    <d v="2023-05-30T00:00:00"/>
  </r>
  <r>
    <x v="5"/>
    <n v="20010"/>
    <s v="Monday"/>
    <d v="1899-12-30T00:00:00"/>
    <s v="Sunday"/>
    <d v="1899-12-30T23:59:59"/>
    <x v="4"/>
    <n v="10.4"/>
    <n v="12.8"/>
    <n v="-1"/>
    <n v="-1"/>
    <n v="-1"/>
    <n v="14.4"/>
    <n v="21.5"/>
    <n v="26.1"/>
    <n v="7.1"/>
    <n v="10.4"/>
    <n v="12.8"/>
    <n v="21.5"/>
    <n v="26.1"/>
    <n v="10.4"/>
    <n v="12.8"/>
    <n v="12.8"/>
    <d v="2023-05-11T00:00:00"/>
  </r>
  <r>
    <x v="6"/>
    <n v="20012"/>
    <s v="Monday"/>
    <d v="1899-12-30T00:00:00"/>
    <s v="Sunday"/>
    <d v="1899-12-30T23:59:59"/>
    <x v="5"/>
    <n v="13.8"/>
    <n v="16.100000000000001"/>
    <n v="-1"/>
    <n v="-1"/>
    <n v="-1"/>
    <n v="19.2"/>
    <n v="28.3"/>
    <n v="32.799999999999997"/>
    <n v="9.4"/>
    <n v="13.8"/>
    <n v="16.100000000000001"/>
    <n v="28.3"/>
    <n v="32.799999999999997"/>
    <n v="13.8"/>
    <n v="16.100000000000001"/>
    <n v="16.100000000000001"/>
    <d v="2023-05-06T00:00:00"/>
  </r>
  <r>
    <x v="7"/>
    <n v="20014"/>
    <s v="Monday"/>
    <d v="1899-12-30T00:00:00"/>
    <s v="Sunday"/>
    <d v="1899-12-30T23:59:59"/>
    <x v="6"/>
    <n v="17.3"/>
    <n v="21.3"/>
    <n v="-1"/>
    <n v="-1"/>
    <n v="-1"/>
    <n v="23.6"/>
    <n v="35.200000000000003"/>
    <n v="43"/>
    <n v="11.6"/>
    <n v="17.3"/>
    <n v="21.3"/>
    <n v="35.200000000000003"/>
    <n v="43"/>
    <n v="17.3"/>
    <n v="21.3"/>
    <n v="21.3"/>
    <d v="2023-06-21T00:00:00"/>
  </r>
  <r>
    <x v="8"/>
    <n v="20016"/>
    <s v="Monday"/>
    <d v="1899-12-30T00:00:00"/>
    <s v="Sunday"/>
    <d v="1899-12-30T23:59:59"/>
    <x v="7"/>
    <n v="24.1"/>
    <n v="29.1"/>
    <n v="-1"/>
    <n v="-1"/>
    <n v="-1"/>
    <n v="32.799999999999997"/>
    <n v="49"/>
    <n v="59"/>
    <n v="16.100000000000001"/>
    <n v="24.1"/>
    <n v="29.1"/>
    <n v="49"/>
    <n v="59"/>
    <n v="24.1"/>
    <n v="29.1"/>
    <n v="29.1"/>
    <d v="2023-06-15T00:00:00"/>
  </r>
  <r>
    <x v="9"/>
    <n v="20018"/>
    <s v="Monday"/>
    <d v="1899-12-30T00:00:00"/>
    <s v="Sunday"/>
    <d v="1899-12-30T23:59:59"/>
    <x v="8"/>
    <n v="27.5"/>
    <n v="33.799999999999997"/>
    <n v="-1"/>
    <n v="-1"/>
    <n v="-1"/>
    <n v="37.200000000000003"/>
    <n v="55.6"/>
    <n v="67.900000000000006"/>
    <n v="18.399999999999999"/>
    <n v="27.5"/>
    <n v="33.799999999999997"/>
    <n v="55.6"/>
    <n v="67.900000000000006"/>
    <n v="27.5"/>
    <n v="33.799999999999997"/>
    <n v="33.799999999999997"/>
    <d v="2023-06-27T00:00:00"/>
  </r>
  <r>
    <x v="10"/>
    <n v="20020"/>
    <s v="Monday"/>
    <d v="1899-12-30T00:00:00"/>
    <s v="Sunday"/>
    <d v="1899-12-30T23:59:59"/>
    <x v="9"/>
    <n v="0"/>
    <n v="0"/>
    <n v="0"/>
    <n v="0"/>
    <n v="0"/>
    <n v="0"/>
    <n v="0"/>
    <n v="0"/>
    <n v="0"/>
    <n v="0"/>
    <n v="0"/>
    <n v="0"/>
    <n v="0"/>
    <n v="0"/>
    <n v="0"/>
    <n v="0"/>
    <d v="2023-07-09T00:00:00"/>
  </r>
  <r>
    <x v="11"/>
    <n v="20022"/>
    <s v="Monday"/>
    <d v="1899-12-30T00:00:00"/>
    <s v="Sunday"/>
    <d v="1899-12-30T23:59:59"/>
    <x v="10"/>
    <n v="32.1"/>
    <n v="40.1"/>
    <n v="-1"/>
    <n v="-1"/>
    <n v="-1"/>
    <n v="42.3"/>
    <n v="61.5"/>
    <n v="76.599999999999994"/>
    <n v="21.9"/>
    <n v="32.1"/>
    <n v="40.1"/>
    <n v="61.5"/>
    <n v="76.599999999999994"/>
    <n v="32.1"/>
    <n v="40.1"/>
    <n v="40.1"/>
    <d v="2023-07-03T00:00:00"/>
  </r>
  <r>
    <x v="12"/>
    <n v="20024"/>
    <s v="Monday"/>
    <d v="1899-12-30T00:00:00"/>
    <s v="Sunday"/>
    <d v="1899-12-30T23:59:59"/>
    <x v="11"/>
    <n v="34.700000000000003"/>
    <n v="42.7"/>
    <n v="-1"/>
    <n v="-1"/>
    <n v="-1"/>
    <n v="47.7"/>
    <n v="70.8"/>
    <n v="86.6"/>
    <n v="23.5"/>
    <n v="34.700000000000003"/>
    <n v="42.7"/>
    <n v="70.8"/>
    <n v="86.6"/>
    <n v="34.700000000000003"/>
    <n v="42.7"/>
    <n v="42.7"/>
    <d v="2023-06-18T00:00:00"/>
  </r>
  <r>
    <x v="13"/>
    <n v="20026"/>
    <s v="Monday"/>
    <d v="1899-12-30T00:00:00"/>
    <s v="Sunday"/>
    <d v="1899-12-30T23:59:59"/>
    <x v="12"/>
    <n v="39.299999999999997"/>
    <n v="47.9"/>
    <n v="-1"/>
    <n v="-1"/>
    <n v="-1"/>
    <n v="54.6"/>
    <n v="79.599999999999994"/>
    <n v="96.8"/>
    <n v="26.8"/>
    <n v="39.299999999999997"/>
    <n v="47.9"/>
    <n v="79.599999999999994"/>
    <n v="96.8"/>
    <n v="39.299999999999997"/>
    <n v="47.9"/>
    <n v="47.9"/>
    <d v="2023-07-06T00:00:00"/>
  </r>
  <r>
    <x v="14"/>
    <n v="20028"/>
    <s v="Monday"/>
    <d v="1899-12-30T00:00:00"/>
    <s v="Sunday"/>
    <d v="1899-12-30T23:59:59"/>
    <x v="13"/>
    <n v="41"/>
    <n v="50.1"/>
    <n v="-1"/>
    <n v="-1"/>
    <n v="-1"/>
    <n v="56.7"/>
    <n v="83.2"/>
    <n v="101.3"/>
    <n v="28"/>
    <n v="41"/>
    <n v="50.1"/>
    <n v="83.2"/>
    <n v="101.3"/>
    <n v="41"/>
    <n v="50.1"/>
    <n v="50.1"/>
    <d v="2023-05-17T00:00:00"/>
  </r>
  <r>
    <x v="15"/>
    <n v="20030"/>
    <s v="Monday"/>
    <d v="1899-12-30T00:00:00"/>
    <s v="Sunday"/>
    <d v="1899-12-30T23:59:59"/>
    <x v="14"/>
    <n v="42.3"/>
    <n v="52.3"/>
    <n v="-1"/>
    <n v="-1"/>
    <n v="-1"/>
    <n v="58.3"/>
    <n v="85.4"/>
    <n v="106.1"/>
    <n v="28.5"/>
    <n v="42.3"/>
    <n v="52.3"/>
    <n v="85.4"/>
    <n v="106.1"/>
    <n v="42.3"/>
    <n v="52.3"/>
    <n v="52.3"/>
    <d v="2023-05-25T00:00:00"/>
  </r>
  <r>
    <x v="16"/>
    <n v="20032"/>
    <s v="Monday"/>
    <d v="1899-12-30T00:00:00"/>
    <s v="Sunday"/>
    <d v="1899-12-30T23:59:59"/>
    <x v="15"/>
    <n v="43.3"/>
    <n v="53.7"/>
    <n v="-1"/>
    <n v="-1"/>
    <n v="-1"/>
    <n v="59"/>
    <n v="87.6"/>
    <n v="108.8"/>
    <n v="29.1"/>
    <n v="43.3"/>
    <n v="53.7"/>
    <n v="87.6"/>
    <n v="108.8"/>
    <n v="43.3"/>
    <n v="53.7"/>
    <n v="53.7"/>
    <d v="2023-06-08T00:00:00"/>
  </r>
  <r>
    <x v="17"/>
    <n v="20034"/>
    <s v="Monday"/>
    <d v="1899-12-30T00:00:00"/>
    <s v="Sunday"/>
    <d v="1899-12-30T23:59:59"/>
    <x v="16"/>
    <n v="45.5"/>
    <n v="57"/>
    <n v="-1"/>
    <n v="-1"/>
    <n v="-1"/>
    <n v="62.5"/>
    <n v="92.1"/>
    <n v="115.1"/>
    <n v="30.7"/>
    <n v="45.5"/>
    <n v="57"/>
    <n v="92.1"/>
    <n v="115.1"/>
    <n v="45.5"/>
    <n v="57"/>
    <n v="57"/>
    <d v="2023-06-22T00:00:00"/>
  </r>
  <r>
    <x v="18"/>
    <n v="20036"/>
    <s v="Monday"/>
    <d v="1899-12-30T00:00:00"/>
    <s v="Sunday"/>
    <d v="1899-12-30T23:59:59"/>
    <x v="17"/>
    <n v="50.1"/>
    <n v="61.4"/>
    <n v="-1"/>
    <n v="-1"/>
    <n v="-1"/>
    <n v="67.900000000000006"/>
    <n v="101.3"/>
    <n v="124.4"/>
    <n v="33.799999999999997"/>
    <n v="50.1"/>
    <n v="61.4"/>
    <n v="101.3"/>
    <n v="124.4"/>
    <n v="50.1"/>
    <n v="61.4"/>
    <n v="61.4"/>
    <d v="2023-06-14T00:00:00"/>
  </r>
  <r>
    <x v="19"/>
    <n v="20038"/>
    <s v="Monday"/>
    <d v="1899-12-30T00:00:00"/>
    <s v="Sunday"/>
    <d v="1899-12-30T23:59:59"/>
    <x v="18"/>
    <n v="52.3"/>
    <n v="63.6"/>
    <n v="-1"/>
    <n v="-1"/>
    <n v="-1"/>
    <n v="70.8"/>
    <n v="106.1"/>
    <n v="128.6"/>
    <n v="34.700000000000003"/>
    <n v="52.3"/>
    <n v="63.6"/>
    <n v="106.1"/>
    <n v="128.6"/>
    <n v="52.3"/>
    <n v="63.6"/>
    <n v="63.6"/>
    <d v="2023-06-02T00:00:00"/>
  </r>
  <r>
    <x v="20"/>
    <n v="20040"/>
    <s v="Monday"/>
    <d v="1899-12-30T00:00:00"/>
    <s v="Sunday"/>
    <d v="1899-12-30T23:59:59"/>
    <x v="19"/>
    <n v="54.6"/>
    <n v="65.900000000000006"/>
    <n v="-1"/>
    <n v="-1"/>
    <n v="-1"/>
    <n v="73.900000000000006"/>
    <n v="110.3"/>
    <n v="133.4"/>
    <n v="36.5"/>
    <n v="54.6"/>
    <n v="65.900000000000006"/>
    <n v="110.3"/>
    <n v="133.4"/>
    <n v="54.6"/>
    <n v="65.900000000000006"/>
    <n v="65.900000000000006"/>
    <d v="2023-05-29T00:00:00"/>
  </r>
  <r>
    <x v="21"/>
    <n v="20042"/>
    <s v="Monday"/>
    <d v="1899-12-30T00:00:00"/>
    <s v="Sunday"/>
    <d v="1899-12-30T23:59:59"/>
    <x v="20"/>
    <n v="57.2"/>
    <n v="68.7"/>
    <n v="-1"/>
    <n v="-1"/>
    <n v="-1"/>
    <n v="76.599999999999994"/>
    <n v="115.5"/>
    <n v="138.80000000000001"/>
    <n v="38"/>
    <n v="57.2"/>
    <n v="68.7"/>
    <n v="115.5"/>
    <n v="138.80000000000001"/>
    <n v="57.2"/>
    <n v="68.7"/>
    <n v="68.7"/>
    <d v="2023-07-03T00:00:00"/>
  </r>
  <r>
    <x v="22"/>
    <n v="20044"/>
    <s v="Monday"/>
    <d v="1899-12-30T00:00:00"/>
    <s v="Sunday"/>
    <d v="1899-12-30T23:59:59"/>
    <x v="21"/>
    <n v="59.2"/>
    <n v="70.400000000000006"/>
    <n v="-1"/>
    <n v="-1"/>
    <n v="-1"/>
    <n v="78.599999999999994"/>
    <n v="119.4"/>
    <n v="142.5"/>
    <n v="38.700000000000003"/>
    <n v="59.2"/>
    <n v="70.400000000000006"/>
    <n v="119.4"/>
    <n v="142.5"/>
    <n v="59.2"/>
    <n v="70.400000000000006"/>
    <n v="70.400000000000006"/>
    <d v="2023-07-07T00:00:00"/>
  </r>
  <r>
    <x v="23"/>
    <n v="20046"/>
    <s v="Monday"/>
    <d v="1899-12-30T00:00:00"/>
    <s v="Sunday"/>
    <d v="1899-12-30T23:59:59"/>
    <x v="22"/>
    <n v="59.2"/>
    <n v="72.8"/>
    <n v="-1"/>
    <n v="-1"/>
    <n v="-1"/>
    <n v="80.8"/>
    <n v="119.4"/>
    <n v="146.80000000000001"/>
    <n v="40.1"/>
    <n v="59.2"/>
    <n v="72.8"/>
    <n v="119.4"/>
    <n v="146.80000000000001"/>
    <n v="59.2"/>
    <n v="72.8"/>
    <n v="72.8"/>
    <d v="2023-07-11T00:00:00"/>
  </r>
  <r>
    <x v="24"/>
    <n v="20048"/>
    <s v="Monday"/>
    <d v="1899-12-30T00:00:00"/>
    <s v="Sunday"/>
    <d v="1899-12-30T23:59:59"/>
    <x v="9"/>
    <n v="0"/>
    <n v="0"/>
    <n v="0"/>
    <n v="0"/>
    <n v="0"/>
    <n v="0"/>
    <n v="0"/>
    <n v="0"/>
    <n v="0"/>
    <n v="0"/>
    <n v="0"/>
    <n v="0"/>
    <n v="0"/>
    <n v="0"/>
    <n v="0"/>
    <n v="0"/>
    <d v="2023-08-04T00:00:00"/>
  </r>
  <r>
    <x v="25"/>
    <n v="20050"/>
    <s v="Monday"/>
    <d v="1899-12-30T00:00:00"/>
    <s v="Sunday"/>
    <d v="1899-12-30T23:59:59"/>
    <x v="23"/>
    <n v="61.4"/>
    <n v="75"/>
    <n v="-1"/>
    <n v="-1"/>
    <n v="-1"/>
    <n v="83.5"/>
    <n v="124.4"/>
    <n v="151.5"/>
    <n v="41.3"/>
    <n v="61.4"/>
    <n v="75"/>
    <n v="124.4"/>
    <n v="151.5"/>
    <n v="61.4"/>
    <n v="75"/>
    <n v="75"/>
    <d v="2023-08-08T00:00:00"/>
  </r>
  <r>
    <x v="26"/>
    <n v="20052"/>
    <s v="Monday"/>
    <d v="1899-12-30T00:00:00"/>
    <s v="Sunday"/>
    <d v="1899-12-30T23:59:59"/>
    <x v="24"/>
    <n v="61.4"/>
    <n v="75"/>
    <n v="-1"/>
    <n v="-1"/>
    <n v="-1"/>
    <n v="85.4"/>
    <n v="124.4"/>
    <n v="151.5"/>
    <n v="42.3"/>
    <n v="61.4"/>
    <n v="75"/>
    <n v="124.4"/>
    <n v="151.5"/>
    <n v="61.4"/>
    <n v="75"/>
    <n v="75"/>
    <d v="2023-07-01T00:00:00"/>
  </r>
  <r>
    <x v="27"/>
    <n v="20054"/>
    <s v="Monday"/>
    <d v="1899-12-30T00:00:00"/>
    <s v="Sunday"/>
    <d v="1899-12-30T23:59:59"/>
    <x v="25"/>
    <n v="63.6"/>
    <n v="77.2"/>
    <n v="-1"/>
    <n v="-1"/>
    <n v="-1"/>
    <n v="87.6"/>
    <n v="128.6"/>
    <n v="156.4"/>
    <n v="43.3"/>
    <n v="63.6"/>
    <n v="77.2"/>
    <n v="128.6"/>
    <n v="156.4"/>
    <n v="63.6"/>
    <n v="77.2"/>
    <n v="77.2"/>
    <d v="2023-08-15T00:00:00"/>
  </r>
  <r>
    <x v="28"/>
    <n v="20058"/>
    <s v="Monday"/>
    <d v="1899-12-30T00:00:00"/>
    <s v="Sunday"/>
    <d v="1899-12-30T23:59:59"/>
    <x v="26"/>
    <n v="-1"/>
    <n v="-1"/>
    <n v="-1"/>
    <n v="-1"/>
    <n v="-1"/>
    <n v="-1"/>
    <n v="-1"/>
    <n v="-1"/>
    <n v="-1"/>
    <n v="-1"/>
    <n v="-1"/>
    <n v="-1"/>
    <n v="-1"/>
    <n v="-1"/>
    <n v="-1"/>
    <n v="-1"/>
    <d v="2023-08-12T00:00:00"/>
  </r>
  <r>
    <x v="29"/>
    <n v="20060"/>
    <s v="Monday"/>
    <d v="1899-12-30T00:00:00"/>
    <s v="Sunday"/>
    <d v="1899-12-30T23:59:59"/>
    <x v="27"/>
    <n v="65.900000000000006"/>
    <n v="79.400000000000006"/>
    <n v="-1"/>
    <n v="-1"/>
    <n v="-1"/>
    <n v="90.9"/>
    <n v="133.4"/>
    <n v="160.9"/>
    <n v="45"/>
    <n v="65.900000000000006"/>
    <n v="79.400000000000006"/>
    <n v="133.4"/>
    <n v="160.9"/>
    <n v="65.900000000000006"/>
    <n v="79.400000000000006"/>
    <n v="79.400000000000006"/>
    <d v="2023-08-19T00:00:00"/>
  </r>
  <r>
    <x v="30"/>
    <n v="21000"/>
    <s v="Monday"/>
    <d v="1899-12-30T00:00:00"/>
    <s v="Sunday"/>
    <d v="1899-12-30T23:59:59"/>
    <x v="26"/>
    <n v="-1"/>
    <n v="-1"/>
    <n v="-1"/>
    <n v="-1"/>
    <n v="-1"/>
    <n v="-1"/>
    <n v="-1"/>
    <n v="-1"/>
    <n v="-1"/>
    <n v="-1"/>
    <n v="-1"/>
    <n v="-1"/>
    <n v="-1"/>
    <n v="-1"/>
    <n v="-1"/>
    <n v="-1"/>
    <d v="2023-08-05T00:00:00"/>
  </r>
  <r>
    <x v="31"/>
    <n v="21002"/>
    <s v="Monday"/>
    <d v="1899-12-30T00:00:00"/>
    <s v="Sunday"/>
    <d v="1899-12-30T23:59:59"/>
    <x v="28"/>
    <n v="61.4"/>
    <n v="75"/>
    <n v="-1"/>
    <n v="-1"/>
    <n v="-1"/>
    <n v="84.6"/>
    <n v="124.4"/>
    <n v="151.5"/>
    <n v="41.5"/>
    <n v="61.4"/>
    <n v="75"/>
    <n v="124.4"/>
    <n v="151.5"/>
    <n v="61.4"/>
    <n v="75"/>
    <n v="75"/>
    <d v="2023-08-28T00:00:00"/>
  </r>
  <r>
    <x v="32"/>
    <n v="21004"/>
    <s v="Monday"/>
    <d v="1899-12-30T00:00:00"/>
    <s v="Sunday"/>
    <d v="1899-12-30T23:59:59"/>
    <x v="25"/>
    <n v="63.6"/>
    <n v="79.400000000000006"/>
    <n v="-1"/>
    <n v="-1"/>
    <n v="-1"/>
    <n v="87.6"/>
    <n v="128.6"/>
    <n v="160.9"/>
    <n v="43.3"/>
    <n v="63.6"/>
    <n v="79.400000000000006"/>
    <n v="128.6"/>
    <n v="160.9"/>
    <n v="63.6"/>
    <n v="79.400000000000006"/>
    <n v="79.400000000000006"/>
    <d v="2023-08-24T00:00:00"/>
  </r>
  <r>
    <x v="33"/>
    <n v="21006"/>
    <s v="Monday"/>
    <d v="1899-12-30T00:00:00"/>
    <s v="Sunday"/>
    <d v="1899-12-30T23:59:59"/>
    <x v="29"/>
    <n v="65.900000000000006"/>
    <n v="81.8"/>
    <n v="-1"/>
    <n v="-1"/>
    <n v="-1"/>
    <n v="89.9"/>
    <n v="133.4"/>
    <n v="165.3"/>
    <n v="44.5"/>
    <n v="65.900000000000006"/>
    <n v="81.8"/>
    <n v="133.4"/>
    <n v="165.3"/>
    <n v="65.900000000000006"/>
    <n v="81.8"/>
    <n v="81.8"/>
    <d v="2023-08-22T00:00:00"/>
  </r>
  <r>
    <x v="34"/>
    <n v="21008"/>
    <s v="Monday"/>
    <d v="1899-12-30T00:00:00"/>
    <s v="Sunday"/>
    <d v="1899-12-30T23:59:59"/>
    <x v="30"/>
    <n v="70.400000000000006"/>
    <n v="86.4"/>
    <n v="-1"/>
    <n v="-1"/>
    <n v="-1"/>
    <n v="95.6"/>
    <n v="142.5"/>
    <n v="174.2"/>
    <n v="47.3"/>
    <n v="70.400000000000006"/>
    <n v="86.4"/>
    <n v="142.5"/>
    <n v="174.2"/>
    <n v="70.400000000000006"/>
    <n v="86.4"/>
    <n v="86.4"/>
    <d v="2023-09-10T00:00:00"/>
  </r>
  <r>
    <x v="35"/>
    <n v="21010"/>
    <s v="Monday"/>
    <d v="1899-12-30T00:00:00"/>
    <s v="Sunday"/>
    <d v="1899-12-30T23:59:59"/>
    <x v="31"/>
    <n v="72"/>
    <n v="89"/>
    <n v="-1"/>
    <n v="-1"/>
    <n v="-1"/>
    <n v="97.9"/>
    <n v="145.5"/>
    <n v="179.8"/>
    <n v="48.3"/>
    <n v="72"/>
    <n v="89"/>
    <n v="145.5"/>
    <n v="179.8"/>
    <n v="72"/>
    <n v="89"/>
    <n v="89"/>
    <d v="2023-08-19T00:00:00"/>
  </r>
  <r>
    <x v="36"/>
    <n v="21012"/>
    <s v="Monday"/>
    <d v="1899-12-30T00:00:00"/>
    <s v="Sunday"/>
    <d v="1899-12-30T23:59:59"/>
    <x v="32"/>
    <n v="72.8"/>
    <n v="90.9"/>
    <n v="-1"/>
    <n v="-1"/>
    <n v="-1"/>
    <n v="99.5"/>
    <n v="146.80000000000001"/>
    <n v="183.5"/>
    <n v="49.1"/>
    <n v="72.8"/>
    <n v="90.9"/>
    <n v="146.80000000000001"/>
    <n v="183.5"/>
    <n v="72.8"/>
    <n v="90.9"/>
    <n v="90.9"/>
    <d v="2023-08-05T00:00:00"/>
  </r>
  <r>
    <x v="37"/>
    <n v="21014"/>
    <s v="Monday"/>
    <d v="1899-12-30T00:00:00"/>
    <s v="Sunday"/>
    <d v="1899-12-30T23:59:59"/>
    <x v="33"/>
    <n v="75"/>
    <n v="93.1"/>
    <n v="-1"/>
    <n v="-1"/>
    <n v="-1"/>
    <n v="102.6"/>
    <n v="151.5"/>
    <n v="188.1"/>
    <n v="50.6"/>
    <n v="75"/>
    <n v="93.1"/>
    <n v="151.5"/>
    <n v="188.1"/>
    <n v="75"/>
    <n v="93.1"/>
    <n v="93.1"/>
    <d v="2023-08-28T00:00:00"/>
  </r>
  <r>
    <x v="38"/>
    <n v="21016"/>
    <s v="Monday"/>
    <d v="1899-12-30T00:00:00"/>
    <s v="Sunday"/>
    <d v="1899-12-30T23:59:59"/>
    <x v="34"/>
    <n v="77.2"/>
    <n v="93.1"/>
    <n v="-1"/>
    <n v="-1"/>
    <n v="-1"/>
    <n v="104.5"/>
    <n v="156.4"/>
    <n v="188.1"/>
    <n v="51.8"/>
    <n v="77.2"/>
    <n v="93.1"/>
    <n v="156.4"/>
    <n v="188.1"/>
    <n v="77.2"/>
    <n v="93.1"/>
    <n v="93.1"/>
    <d v="2023-08-2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D55E3-2ECD-4631-9962-B699AA03D03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3:AG43" firstHeaderRow="0" firstDataRow="1" firstDataCol="1"/>
  <pivotFields count="24">
    <pivotField axis="axisRow" showAll="0">
      <items count="40">
        <item x="2"/>
        <item x="8"/>
        <item x="27"/>
        <item x="12"/>
        <item x="9"/>
        <item x="1"/>
        <item x="13"/>
        <item x="6"/>
        <item x="20"/>
        <item x="10"/>
        <item x="24"/>
        <item x="14"/>
        <item x="16"/>
        <item x="15"/>
        <item x="4"/>
        <item x="31"/>
        <item x="17"/>
        <item x="33"/>
        <item x="34"/>
        <item x="30"/>
        <item x="19"/>
        <item x="29"/>
        <item x="5"/>
        <item x="23"/>
        <item x="3"/>
        <item x="36"/>
        <item x="32"/>
        <item x="18"/>
        <item x="21"/>
        <item x="35"/>
        <item x="7"/>
        <item x="28"/>
        <item x="22"/>
        <item x="25"/>
        <item x="0"/>
        <item x="37"/>
        <item x="26"/>
        <item x="11"/>
        <item x="38"/>
        <item t="default"/>
      </items>
    </pivotField>
    <pivotField showAll="0"/>
    <pivotField showAll="0"/>
    <pivotField numFmtId="164" showAll="0"/>
    <pivotField showAll="0"/>
    <pivotField numFmtId="164" showAll="0"/>
    <pivotField dataField="1" showAll="0">
      <items count="36">
        <item x="26"/>
        <item x="9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8"/>
        <item x="24"/>
        <item x="25"/>
        <item x="29"/>
        <item x="27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numFmtId="166" showAll="0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car1" fld="6" baseField="0" baseItem="0"/>
    <dataField name="Sum of bus2" fld="13" baseField="0" baseItem="0"/>
    <dataField name="Sum of rv3" fld="17" baseField="0" baseItem="0"/>
    <dataField name="Sum of truck2" fld="19" baseField="0" baseItem="0"/>
    <dataField name="Sum of taxi2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047E6-C8C5-477F-827F-FE84A545FE9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6:P46" firstHeaderRow="0" firstDataRow="1" firstDataCol="1"/>
  <pivotFields count="24">
    <pivotField axis="axisRow" showAll="0">
      <items count="40">
        <item x="2"/>
        <item x="8"/>
        <item x="27"/>
        <item x="12"/>
        <item x="9"/>
        <item x="1"/>
        <item x="13"/>
        <item x="6"/>
        <item x="20"/>
        <item x="10"/>
        <item x="24"/>
        <item x="14"/>
        <item x="16"/>
        <item x="15"/>
        <item x="4"/>
        <item x="31"/>
        <item x="17"/>
        <item x="33"/>
        <item x="34"/>
        <item x="30"/>
        <item x="19"/>
        <item x="29"/>
        <item x="5"/>
        <item x="23"/>
        <item x="3"/>
        <item x="36"/>
        <item x="32"/>
        <item x="18"/>
        <item x="21"/>
        <item x="35"/>
        <item x="7"/>
        <item x="28"/>
        <item x="22"/>
        <item x="25"/>
        <item x="0"/>
        <item x="37"/>
        <item x="26"/>
        <item x="11"/>
        <item x="38"/>
        <item t="default"/>
      </items>
    </pivotField>
    <pivotField showAll="0"/>
    <pivotField showAll="0"/>
    <pivotField numFmtId="164" showAll="0"/>
    <pivotField showAll="0"/>
    <pivotField numFmtId="164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numFmtId="166" showAll="0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car1" fld="6" baseField="0" baseItem="0"/>
    <dataField name="Sum of bus2" fld="13" baseField="0" baseItem="0"/>
    <dataField name="Sum of rv3" fld="17" baseField="0" baseItem="0"/>
    <dataField name="Sum of truck2" fld="19" baseField="0" baseItem="0"/>
    <dataField name="Sum of taxi2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3" t="s">
        <v>171</v>
      </c>
      <c r="B9" s="24" t="s">
        <v>169</v>
      </c>
    </row>
    <row r="10" spans="1:3" x14ac:dyDescent="0.3">
      <c r="A10" s="32" t="s">
        <v>172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O44"/>
  <sheetViews>
    <sheetView topLeftCell="L1" zoomScaleNormal="100" workbookViewId="0">
      <pane ySplit="1" topLeftCell="A15" activePane="bottomLeft" state="frozen"/>
      <selection pane="bottomLeft" activeCell="A8" sqref="A8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3" bestFit="1" customWidth="1"/>
    <col min="25" max="27" width="9" style="1"/>
    <col min="28" max="28" width="15.5546875" style="1" bestFit="1" customWidth="1"/>
    <col min="29" max="29" width="10.6640625" style="1" bestFit="1" customWidth="1"/>
    <col min="30" max="30" width="10.77734375" style="1" bestFit="1" customWidth="1"/>
    <col min="31" max="31" width="9.77734375" style="1" bestFit="1" customWidth="1"/>
    <col min="32" max="32" width="12.44140625" style="1" bestFit="1" customWidth="1"/>
    <col min="33" max="33" width="11.109375" style="1" bestFit="1" customWidth="1"/>
    <col min="34" max="36" width="4" style="1" bestFit="1" customWidth="1"/>
    <col min="37" max="42" width="5" style="1" bestFit="1" customWidth="1"/>
    <col min="43" max="43" width="3" style="1" bestFit="1" customWidth="1"/>
    <col min="44" max="49" width="5" style="1" bestFit="1" customWidth="1"/>
    <col min="50" max="50" width="3" style="1" bestFit="1" customWidth="1"/>
    <col min="51" max="57" width="5" style="1" bestFit="1" customWidth="1"/>
    <col min="58" max="58" width="3" style="1" bestFit="1" customWidth="1"/>
    <col min="59" max="63" width="5" style="1" bestFit="1" customWidth="1"/>
    <col min="64" max="64" width="11.109375" style="1" bestFit="1" customWidth="1"/>
    <col min="65" max="66" width="16.88671875" style="1" bestFit="1" customWidth="1"/>
    <col min="67" max="67" width="11.109375" style="1" bestFit="1" customWidth="1"/>
    <col min="68" max="16384" width="9" style="1"/>
  </cols>
  <sheetData>
    <row r="1" spans="1:67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2" t="s">
        <v>105</v>
      </c>
    </row>
    <row r="2" spans="1:67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67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  <c r="Z3" s="1">
        <f>SUMIFS(H2:H12, H2:H12, "&gt;20")</f>
        <v>51.6</v>
      </c>
      <c r="AB3" s="44" t="s">
        <v>178</v>
      </c>
      <c r="AC3" t="s">
        <v>179</v>
      </c>
      <c r="AD3" t="s">
        <v>180</v>
      </c>
      <c r="AE3" t="s">
        <v>181</v>
      </c>
      <c r="AF3" t="s">
        <v>182</v>
      </c>
      <c r="AG3" t="s">
        <v>183</v>
      </c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  <c r="AB4" s="45" t="s">
        <v>7</v>
      </c>
      <c r="AC4">
        <v>3.6</v>
      </c>
      <c r="AD4">
        <v>11.1</v>
      </c>
      <c r="AE4">
        <v>5.8</v>
      </c>
      <c r="AF4">
        <v>12.2</v>
      </c>
      <c r="AG4">
        <v>5.8</v>
      </c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  <c r="AB5" s="45" t="s">
        <v>13</v>
      </c>
      <c r="AC5">
        <v>16.100000000000001</v>
      </c>
      <c r="AD5">
        <v>49</v>
      </c>
      <c r="AE5">
        <v>29.1</v>
      </c>
      <c r="AF5">
        <v>59</v>
      </c>
      <c r="AG5">
        <v>29.1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</row>
    <row r="6" spans="1:67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  <c r="AB6" s="45" t="s">
        <v>30</v>
      </c>
      <c r="AC6">
        <v>43.3</v>
      </c>
      <c r="AD6">
        <v>128.6</v>
      </c>
      <c r="AE6">
        <v>77.2</v>
      </c>
      <c r="AF6">
        <v>156.4</v>
      </c>
      <c r="AG6">
        <v>77.2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</row>
    <row r="7" spans="1:67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  <c r="AB7" s="45" t="s">
        <v>17</v>
      </c>
      <c r="AC7">
        <v>23.5</v>
      </c>
      <c r="AD7">
        <v>70.8</v>
      </c>
      <c r="AE7">
        <v>42.7</v>
      </c>
      <c r="AF7">
        <v>86.6</v>
      </c>
      <c r="AG7">
        <v>42.7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</row>
    <row r="8" spans="1:67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  <c r="AB8" s="45" t="s">
        <v>14</v>
      </c>
      <c r="AC8">
        <v>18.399999999999999</v>
      </c>
      <c r="AD8">
        <v>55.6</v>
      </c>
      <c r="AE8">
        <v>33.799999999999997</v>
      </c>
      <c r="AF8">
        <v>67.900000000000006</v>
      </c>
      <c r="AG8">
        <v>33.799999999999997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</row>
    <row r="9" spans="1:67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  <c r="AB9" s="45" t="s">
        <v>4</v>
      </c>
      <c r="AC9">
        <v>2.7</v>
      </c>
      <c r="AD9">
        <v>7.6</v>
      </c>
      <c r="AE9">
        <v>4.2</v>
      </c>
      <c r="AF9">
        <v>8.9</v>
      </c>
      <c r="AG9">
        <v>4.2</v>
      </c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</row>
    <row r="10" spans="1:67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  <c r="AB10" s="45" t="s">
        <v>18</v>
      </c>
      <c r="AC10">
        <v>26.8</v>
      </c>
      <c r="AD10">
        <v>79.599999999999994</v>
      </c>
      <c r="AE10">
        <v>47.9</v>
      </c>
      <c r="AF10">
        <v>96.8</v>
      </c>
      <c r="AG10">
        <v>47.9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</row>
    <row r="11" spans="1:67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  <c r="AB11" s="45" t="s">
        <v>11</v>
      </c>
      <c r="AC11">
        <v>9.4</v>
      </c>
      <c r="AD11">
        <v>28.3</v>
      </c>
      <c r="AE11">
        <v>16.100000000000001</v>
      </c>
      <c r="AF11">
        <v>32.799999999999997</v>
      </c>
      <c r="AG11">
        <v>16.100000000000001</v>
      </c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</row>
    <row r="12" spans="1:67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  <c r="AB12" s="45" t="s">
        <v>25</v>
      </c>
      <c r="AC12">
        <v>36.5</v>
      </c>
      <c r="AD12">
        <v>110.3</v>
      </c>
      <c r="AE12">
        <v>65.900000000000006</v>
      </c>
      <c r="AF12">
        <v>133.4</v>
      </c>
      <c r="AG12">
        <v>65.900000000000006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</row>
    <row r="13" spans="1:67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  <c r="AB13" s="45" t="s">
        <v>15</v>
      </c>
      <c r="AC13">
        <v>0</v>
      </c>
      <c r="AD13">
        <v>0</v>
      </c>
      <c r="AE13">
        <v>0</v>
      </c>
      <c r="AF13">
        <v>0</v>
      </c>
      <c r="AG13">
        <v>0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</row>
    <row r="14" spans="1:67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  <c r="AB14" s="45" t="s">
        <v>28</v>
      </c>
      <c r="AC14">
        <v>0</v>
      </c>
      <c r="AD14">
        <v>0</v>
      </c>
      <c r="AE14">
        <v>0</v>
      </c>
      <c r="AF14">
        <v>0</v>
      </c>
      <c r="AG14">
        <v>0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</row>
    <row r="15" spans="1:67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  <c r="AB15" s="45" t="s">
        <v>19</v>
      </c>
      <c r="AC15">
        <v>28</v>
      </c>
      <c r="AD15">
        <v>83.2</v>
      </c>
      <c r="AE15">
        <v>50.1</v>
      </c>
      <c r="AF15">
        <v>101.3</v>
      </c>
      <c r="AG15">
        <v>50.1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</row>
    <row r="16" spans="1:67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  <c r="AB16" s="45" t="s">
        <v>21</v>
      </c>
      <c r="AC16">
        <v>29.1</v>
      </c>
      <c r="AD16">
        <v>87.6</v>
      </c>
      <c r="AE16">
        <v>53.7</v>
      </c>
      <c r="AF16">
        <v>108.8</v>
      </c>
      <c r="AG16">
        <v>53.7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</row>
    <row r="17" spans="1:6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  <c r="AB17" s="45" t="s">
        <v>20</v>
      </c>
      <c r="AC17">
        <v>28.5</v>
      </c>
      <c r="AD17">
        <v>85.4</v>
      </c>
      <c r="AE17">
        <v>52.3</v>
      </c>
      <c r="AF17">
        <v>106.1</v>
      </c>
      <c r="AG17">
        <v>52.3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</row>
    <row r="18" spans="1:6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  <c r="AB18" s="45" t="s">
        <v>9</v>
      </c>
      <c r="AC18">
        <v>6.6</v>
      </c>
      <c r="AD18">
        <v>18</v>
      </c>
      <c r="AE18">
        <v>11</v>
      </c>
      <c r="AF18">
        <v>22.5</v>
      </c>
      <c r="AG18">
        <v>11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</row>
    <row r="19" spans="1:6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  <c r="AB19" s="45" t="s">
        <v>33</v>
      </c>
      <c r="AC19">
        <v>41.5</v>
      </c>
      <c r="AD19">
        <v>124.4</v>
      </c>
      <c r="AE19">
        <v>75</v>
      </c>
      <c r="AF19">
        <v>151.5</v>
      </c>
      <c r="AG19">
        <v>75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</row>
    <row r="20" spans="1:6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  <c r="AB20" s="45" t="s">
        <v>22</v>
      </c>
      <c r="AC20">
        <v>30.7</v>
      </c>
      <c r="AD20">
        <v>92.1</v>
      </c>
      <c r="AE20">
        <v>57</v>
      </c>
      <c r="AF20">
        <v>115.1</v>
      </c>
      <c r="AG20">
        <v>57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</row>
    <row r="21" spans="1:6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  <c r="AB21" s="45" t="s">
        <v>35</v>
      </c>
      <c r="AC21">
        <v>44.5</v>
      </c>
      <c r="AD21">
        <v>133.4</v>
      </c>
      <c r="AE21">
        <v>81.8</v>
      </c>
      <c r="AF21">
        <v>165.3</v>
      </c>
      <c r="AG21">
        <v>81.8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</row>
    <row r="22" spans="1:6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  <c r="AB22" s="45" t="s">
        <v>36</v>
      </c>
      <c r="AC22">
        <v>47.3</v>
      </c>
      <c r="AD22">
        <v>142.5</v>
      </c>
      <c r="AE22">
        <v>86.4</v>
      </c>
      <c r="AF22">
        <v>174.2</v>
      </c>
      <c r="AG22">
        <v>86.4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</row>
    <row r="23" spans="1:6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  <c r="AB23" s="45" t="s">
        <v>32</v>
      </c>
      <c r="AC23">
        <v>-1</v>
      </c>
      <c r="AD23">
        <v>-1</v>
      </c>
      <c r="AE23">
        <v>-1</v>
      </c>
      <c r="AF23">
        <v>-1</v>
      </c>
      <c r="AG23">
        <v>-1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</row>
    <row r="24" spans="1:6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  <c r="AB24" s="45" t="s">
        <v>24</v>
      </c>
      <c r="AC24">
        <v>34.700000000000003</v>
      </c>
      <c r="AD24">
        <v>106.1</v>
      </c>
      <c r="AE24">
        <v>63.6</v>
      </c>
      <c r="AF24">
        <v>128.6</v>
      </c>
      <c r="AG24">
        <v>63.6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  <c r="AB25" s="45" t="s">
        <v>31</v>
      </c>
      <c r="AC25">
        <v>45</v>
      </c>
      <c r="AD25">
        <v>133.4</v>
      </c>
      <c r="AE25">
        <v>79.400000000000006</v>
      </c>
      <c r="AF25">
        <v>160.9</v>
      </c>
      <c r="AG25">
        <v>79.400000000000006</v>
      </c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</row>
    <row r="26" spans="1:6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  <c r="AB26" s="45" t="s">
        <v>10</v>
      </c>
      <c r="AC26">
        <v>7.1</v>
      </c>
      <c r="AD26">
        <v>21.5</v>
      </c>
      <c r="AE26">
        <v>12.8</v>
      </c>
      <c r="AF26">
        <v>26.1</v>
      </c>
      <c r="AG26">
        <v>12.8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</row>
    <row r="27" spans="1:6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  <c r="AB27" s="45" t="s">
        <v>27</v>
      </c>
      <c r="AC27">
        <v>40.1</v>
      </c>
      <c r="AD27">
        <v>119.4</v>
      </c>
      <c r="AE27">
        <v>72.8</v>
      </c>
      <c r="AF27">
        <v>146.80000000000001</v>
      </c>
      <c r="AG27">
        <v>72.8</v>
      </c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</row>
    <row r="28" spans="1:6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  <c r="AB28" s="45" t="s">
        <v>8</v>
      </c>
      <c r="AC28">
        <v>4.9000000000000004</v>
      </c>
      <c r="AD28">
        <v>13.3</v>
      </c>
      <c r="AE28">
        <v>8.1</v>
      </c>
      <c r="AF28">
        <v>17</v>
      </c>
      <c r="AG28">
        <v>8.1</v>
      </c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</row>
    <row r="29" spans="1:6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  <c r="AB29" s="45" t="s">
        <v>37</v>
      </c>
      <c r="AC29">
        <v>49.1</v>
      </c>
      <c r="AD29">
        <v>146.80000000000001</v>
      </c>
      <c r="AE29">
        <v>90.9</v>
      </c>
      <c r="AF29">
        <v>183.5</v>
      </c>
      <c r="AG29">
        <v>90.9</v>
      </c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</row>
    <row r="30" spans="1:6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  <c r="AB30" s="45" t="s">
        <v>34</v>
      </c>
      <c r="AC30">
        <v>43.3</v>
      </c>
      <c r="AD30">
        <v>128.6</v>
      </c>
      <c r="AE30">
        <v>79.400000000000006</v>
      </c>
      <c r="AF30">
        <v>160.9</v>
      </c>
      <c r="AG30">
        <v>79.400000000000006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</row>
    <row r="31" spans="1:6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  <c r="AB31" s="45" t="s">
        <v>23</v>
      </c>
      <c r="AC31">
        <v>33.799999999999997</v>
      </c>
      <c r="AD31">
        <v>101.3</v>
      </c>
      <c r="AE31">
        <v>61.4</v>
      </c>
      <c r="AF31">
        <v>124.4</v>
      </c>
      <c r="AG31">
        <v>61.4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</row>
    <row r="32" spans="1:6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  <c r="AB32" s="45" t="s">
        <v>41</v>
      </c>
      <c r="AC32">
        <v>38</v>
      </c>
      <c r="AD32">
        <v>115.5</v>
      </c>
      <c r="AE32">
        <v>68.7</v>
      </c>
      <c r="AF32">
        <v>138.80000000000001</v>
      </c>
      <c r="AG32">
        <v>68.7</v>
      </c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</row>
    <row r="33" spans="1:6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  <c r="AB33" s="45" t="s">
        <v>42</v>
      </c>
      <c r="AC33">
        <v>48.3</v>
      </c>
      <c r="AD33">
        <v>145.5</v>
      </c>
      <c r="AE33">
        <v>89</v>
      </c>
      <c r="AF33">
        <v>179.8</v>
      </c>
      <c r="AG33">
        <v>89</v>
      </c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</row>
    <row r="34" spans="1:6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  <c r="AB34" s="45" t="s">
        <v>12</v>
      </c>
      <c r="AC34">
        <v>11.6</v>
      </c>
      <c r="AD34">
        <v>35.200000000000003</v>
      </c>
      <c r="AE34">
        <v>21.3</v>
      </c>
      <c r="AF34">
        <v>43</v>
      </c>
      <c r="AG34">
        <v>21.3</v>
      </c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</row>
    <row r="35" spans="1:6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  <c r="AB35" s="45" t="s">
        <v>58</v>
      </c>
      <c r="AC35">
        <v>-1</v>
      </c>
      <c r="AD35">
        <v>-1</v>
      </c>
      <c r="AE35">
        <v>-1</v>
      </c>
      <c r="AF35">
        <v>-1</v>
      </c>
      <c r="AG35">
        <v>-1</v>
      </c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</row>
    <row r="36" spans="1:6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  <c r="AB36" s="45" t="s">
        <v>26</v>
      </c>
      <c r="AC36">
        <v>38.700000000000003</v>
      </c>
      <c r="AD36">
        <v>119.4</v>
      </c>
      <c r="AE36">
        <v>70.400000000000006</v>
      </c>
      <c r="AF36">
        <v>142.5</v>
      </c>
      <c r="AG36">
        <v>70.400000000000006</v>
      </c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</row>
    <row r="37" spans="1:6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  <c r="AB37" s="45" t="s">
        <v>57</v>
      </c>
      <c r="AC37">
        <v>41.3</v>
      </c>
      <c r="AD37">
        <v>124.4</v>
      </c>
      <c r="AE37">
        <v>75</v>
      </c>
      <c r="AF37">
        <v>151.5</v>
      </c>
      <c r="AG37">
        <v>75</v>
      </c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</row>
    <row r="38" spans="1:6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  <c r="AB38" s="45" t="s">
        <v>40</v>
      </c>
      <c r="AC38">
        <v>2.7</v>
      </c>
      <c r="AD38">
        <v>7.6</v>
      </c>
      <c r="AE38">
        <v>4.2</v>
      </c>
      <c r="AF38">
        <v>8.9</v>
      </c>
      <c r="AG38">
        <v>4.2</v>
      </c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</row>
    <row r="39" spans="1:6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  <c r="AB39" s="45" t="s">
        <v>38</v>
      </c>
      <c r="AC39">
        <v>50.6</v>
      </c>
      <c r="AD39">
        <v>151.5</v>
      </c>
      <c r="AE39">
        <v>93.1</v>
      </c>
      <c r="AF39">
        <v>188.1</v>
      </c>
      <c r="AG39">
        <v>93.1</v>
      </c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</row>
    <row r="40" spans="1:6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  <c r="AB40" s="45" t="s">
        <v>29</v>
      </c>
      <c r="AC40">
        <v>42.3</v>
      </c>
      <c r="AD40">
        <v>124.4</v>
      </c>
      <c r="AE40">
        <v>75</v>
      </c>
      <c r="AF40">
        <v>151.5</v>
      </c>
      <c r="AG40">
        <v>75</v>
      </c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64" x14ac:dyDescent="0.3">
      <c r="AB41" s="45" t="s">
        <v>16</v>
      </c>
      <c r="AC41">
        <v>21.9</v>
      </c>
      <c r="AD41">
        <v>61.5</v>
      </c>
      <c r="AE41">
        <v>40.1</v>
      </c>
      <c r="AF41">
        <v>76.599999999999994</v>
      </c>
      <c r="AG41">
        <v>40.1</v>
      </c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</row>
    <row r="42" spans="1:64" x14ac:dyDescent="0.3">
      <c r="AB42" s="45" t="s">
        <v>39</v>
      </c>
      <c r="AC42">
        <v>51.8</v>
      </c>
      <c r="AD42">
        <v>156.4</v>
      </c>
      <c r="AE42">
        <v>93.1</v>
      </c>
      <c r="AF42">
        <v>188.1</v>
      </c>
      <c r="AG42">
        <v>93.1</v>
      </c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</row>
    <row r="43" spans="1:64" x14ac:dyDescent="0.3">
      <c r="AB43" s="45" t="s">
        <v>177</v>
      </c>
      <c r="AC43">
        <v>1039.7</v>
      </c>
      <c r="AD43">
        <v>3117.3</v>
      </c>
      <c r="AE43">
        <v>1886.3</v>
      </c>
      <c r="AF43">
        <v>3813.8</v>
      </c>
      <c r="AG43">
        <v>1886.3</v>
      </c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</row>
    <row r="44" spans="1:64" x14ac:dyDescent="0.3"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</row>
  </sheetData>
  <conditionalFormatting sqref="A1:A1048576">
    <cfRule type="duplicateValues" dxfId="1" priority="3"/>
  </conditionalFormatting>
  <conditionalFormatting sqref="B1:B1048576">
    <cfRule type="duplicateValues" dxfId="0" priority="2"/>
  </conditionalFormatting>
  <conditionalFormatting sqref="J1:L1048576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5" right="0.75" top="1" bottom="1" header="0.5" footer="0.5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184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X46"/>
  <sheetViews>
    <sheetView topLeftCell="P1" zoomScaleNormal="100" workbookViewId="0">
      <selection activeCell="B30" sqref="B30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0" width="11" style="2"/>
    <col min="11" max="11" width="15.5546875" style="2" bestFit="1" customWidth="1"/>
    <col min="12" max="12" width="10.6640625" style="2" bestFit="1" customWidth="1"/>
    <col min="13" max="13" width="10.77734375" style="2" bestFit="1" customWidth="1"/>
    <col min="14" max="14" width="9.77734375" style="2" bestFit="1" customWidth="1"/>
    <col min="15" max="15" width="12.44140625" style="2" bestFit="1" customWidth="1"/>
    <col min="16" max="16" width="11.109375" style="2" bestFit="1" customWidth="1"/>
    <col min="17" max="16384" width="11" style="2"/>
  </cols>
  <sheetData>
    <row r="1" spans="1:24" s="38" customFormat="1" ht="21" x14ac:dyDescent="0.4">
      <c r="A1" s="39" t="s">
        <v>55</v>
      </c>
      <c r="B1" s="38" t="s">
        <v>164</v>
      </c>
    </row>
    <row r="2" spans="1:24" s="38" customFormat="1" ht="21" x14ac:dyDescent="0.4">
      <c r="B2" s="38" t="s">
        <v>161</v>
      </c>
    </row>
    <row r="3" spans="1:24" ht="14.4" x14ac:dyDescent="0.3">
      <c r="A3" s="1"/>
      <c r="B3" s="1"/>
      <c r="C3" s="1"/>
      <c r="D3" s="1"/>
      <c r="E3" s="1"/>
      <c r="F3" s="1"/>
      <c r="G3" s="1"/>
    </row>
    <row r="4" spans="1:24" ht="23.4" x14ac:dyDescent="0.45">
      <c r="A4" s="16" t="s">
        <v>162</v>
      </c>
      <c r="B4" s="1"/>
      <c r="C4" s="1"/>
      <c r="D4" s="1"/>
      <c r="E4" s="1"/>
      <c r="F4" s="1"/>
      <c r="G4" s="1"/>
    </row>
    <row r="5" spans="1:24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  <c r="S5" s="2" t="s">
        <v>64</v>
      </c>
      <c r="T5" s="2" t="s">
        <v>79</v>
      </c>
      <c r="U5" s="2" t="s">
        <v>71</v>
      </c>
      <c r="V5" s="2" t="s">
        <v>75</v>
      </c>
      <c r="W5" s="2" t="s">
        <v>76</v>
      </c>
      <c r="X5" s="2" t="s">
        <v>77</v>
      </c>
    </row>
    <row r="6" spans="1:24" ht="14.4" x14ac:dyDescent="0.3">
      <c r="A6" s="7" t="s">
        <v>40</v>
      </c>
      <c r="B6" s="10">
        <f>VLOOKUP($A6,$S$5:$X$45,MATCH(B$5,$S$5:$X$5,0),0)</f>
        <v>2.7</v>
      </c>
      <c r="C6" s="10">
        <f t="shared" ref="C6:F21" si="0">VLOOKUP($A6,$S$5:$X$45,MATCH(C$5,$S$5:$X$5,0),0)</f>
        <v>7.6</v>
      </c>
      <c r="D6" s="10">
        <f t="shared" si="0"/>
        <v>4.2</v>
      </c>
      <c r="E6" s="10">
        <f t="shared" si="0"/>
        <v>8.9</v>
      </c>
      <c r="F6" s="10">
        <f t="shared" si="0"/>
        <v>4.2</v>
      </c>
      <c r="K6" s="44" t="s">
        <v>178</v>
      </c>
      <c r="L6" t="s">
        <v>179</v>
      </c>
      <c r="M6" t="s">
        <v>180</v>
      </c>
      <c r="N6" t="s">
        <v>181</v>
      </c>
      <c r="O6" t="s">
        <v>182</v>
      </c>
      <c r="P6" t="s">
        <v>183</v>
      </c>
      <c r="S6" s="2" t="s">
        <v>7</v>
      </c>
      <c r="T6" s="2">
        <v>3.6</v>
      </c>
      <c r="U6" s="2">
        <v>11.1</v>
      </c>
      <c r="V6" s="2">
        <v>5.8</v>
      </c>
      <c r="W6" s="2">
        <v>12.2</v>
      </c>
      <c r="X6" s="2">
        <v>5.8</v>
      </c>
    </row>
    <row r="7" spans="1:24" ht="14.4" x14ac:dyDescent="0.3">
      <c r="A7" s="7" t="s">
        <v>4</v>
      </c>
      <c r="B7" s="10">
        <f t="shared" ref="B7:F27" si="1">VLOOKUP($A7,$S$5:$X$45,MATCH(B$5,$S$5:$X$5,0),0)</f>
        <v>2.7</v>
      </c>
      <c r="C7" s="10">
        <f t="shared" si="0"/>
        <v>7.6</v>
      </c>
      <c r="D7" s="10">
        <f t="shared" si="0"/>
        <v>4.2</v>
      </c>
      <c r="E7" s="10">
        <f t="shared" si="0"/>
        <v>8.9</v>
      </c>
      <c r="F7" s="10">
        <f t="shared" si="0"/>
        <v>4.2</v>
      </c>
      <c r="K7" s="45" t="s">
        <v>7</v>
      </c>
      <c r="L7">
        <v>3.6</v>
      </c>
      <c r="M7">
        <v>11.1</v>
      </c>
      <c r="N7">
        <v>5.8</v>
      </c>
      <c r="O7">
        <v>12.2</v>
      </c>
      <c r="P7">
        <v>5.8</v>
      </c>
      <c r="S7" s="2" t="s">
        <v>13</v>
      </c>
      <c r="T7" s="2">
        <v>16.100000000000001</v>
      </c>
      <c r="U7" s="2">
        <v>49</v>
      </c>
      <c r="V7" s="2">
        <v>29.1</v>
      </c>
      <c r="W7" s="2">
        <v>59</v>
      </c>
      <c r="X7" s="2">
        <v>29.1</v>
      </c>
    </row>
    <row r="8" spans="1:24" ht="14.4" x14ac:dyDescent="0.3">
      <c r="A8" s="7" t="s">
        <v>7</v>
      </c>
      <c r="B8" s="10">
        <f t="shared" si="1"/>
        <v>3.6</v>
      </c>
      <c r="C8" s="10">
        <f t="shared" si="0"/>
        <v>11.1</v>
      </c>
      <c r="D8" s="10">
        <f t="shared" si="0"/>
        <v>5.8</v>
      </c>
      <c r="E8" s="10">
        <f t="shared" si="0"/>
        <v>12.2</v>
      </c>
      <c r="F8" s="10">
        <f t="shared" si="0"/>
        <v>5.8</v>
      </c>
      <c r="K8" s="45" t="s">
        <v>13</v>
      </c>
      <c r="L8">
        <v>16.100000000000001</v>
      </c>
      <c r="M8">
        <v>49</v>
      </c>
      <c r="N8">
        <v>29.1</v>
      </c>
      <c r="O8">
        <v>59</v>
      </c>
      <c r="P8">
        <v>29.1</v>
      </c>
      <c r="S8" s="2" t="s">
        <v>30</v>
      </c>
      <c r="T8" s="2">
        <v>43.3</v>
      </c>
      <c r="U8" s="2">
        <v>128.6</v>
      </c>
      <c r="V8" s="2">
        <v>77.2</v>
      </c>
      <c r="W8" s="2">
        <v>156.4</v>
      </c>
      <c r="X8" s="2">
        <v>77.2</v>
      </c>
    </row>
    <row r="9" spans="1:24" ht="14.4" x14ac:dyDescent="0.3">
      <c r="A9" s="7" t="s">
        <v>8</v>
      </c>
      <c r="B9" s="10">
        <f t="shared" si="1"/>
        <v>4.9000000000000004</v>
      </c>
      <c r="C9" s="10">
        <f t="shared" si="0"/>
        <v>13.3</v>
      </c>
      <c r="D9" s="10">
        <f t="shared" si="0"/>
        <v>8.1</v>
      </c>
      <c r="E9" s="10">
        <f t="shared" si="0"/>
        <v>17</v>
      </c>
      <c r="F9" s="10">
        <f t="shared" si="0"/>
        <v>8.1</v>
      </c>
      <c r="K9" s="45" t="s">
        <v>30</v>
      </c>
      <c r="L9">
        <v>43.3</v>
      </c>
      <c r="M9">
        <v>128.6</v>
      </c>
      <c r="N9">
        <v>77.2</v>
      </c>
      <c r="O9">
        <v>156.4</v>
      </c>
      <c r="P9">
        <v>77.2</v>
      </c>
      <c r="S9" s="2" t="s">
        <v>17</v>
      </c>
      <c r="T9" s="2">
        <v>23.5</v>
      </c>
      <c r="U9" s="2">
        <v>70.8</v>
      </c>
      <c r="V9" s="2">
        <v>42.7</v>
      </c>
      <c r="W9" s="2">
        <v>86.6</v>
      </c>
      <c r="X9" s="2">
        <v>42.7</v>
      </c>
    </row>
    <row r="10" spans="1:24" ht="14.4" x14ac:dyDescent="0.3">
      <c r="A10" s="7" t="s">
        <v>11</v>
      </c>
      <c r="B10" s="10">
        <f t="shared" si="1"/>
        <v>9.4</v>
      </c>
      <c r="C10" s="10">
        <f t="shared" si="0"/>
        <v>28.3</v>
      </c>
      <c r="D10" s="10">
        <f t="shared" si="0"/>
        <v>16.100000000000001</v>
      </c>
      <c r="E10" s="10">
        <f t="shared" si="0"/>
        <v>32.799999999999997</v>
      </c>
      <c r="F10" s="10">
        <f t="shared" si="0"/>
        <v>16.100000000000001</v>
      </c>
      <c r="K10" s="45" t="s">
        <v>17</v>
      </c>
      <c r="L10">
        <v>23.5</v>
      </c>
      <c r="M10">
        <v>70.8</v>
      </c>
      <c r="N10">
        <v>42.7</v>
      </c>
      <c r="O10">
        <v>86.6</v>
      </c>
      <c r="P10">
        <v>42.7</v>
      </c>
      <c r="S10" s="2" t="s">
        <v>14</v>
      </c>
      <c r="T10" s="2">
        <v>18.399999999999999</v>
      </c>
      <c r="U10" s="2">
        <v>55.6</v>
      </c>
      <c r="V10" s="2">
        <v>33.799999999999997</v>
      </c>
      <c r="W10" s="2">
        <v>67.900000000000006</v>
      </c>
      <c r="X10" s="2">
        <v>33.799999999999997</v>
      </c>
    </row>
    <row r="11" spans="1:24" ht="14.4" x14ac:dyDescent="0.3">
      <c r="A11" s="7" t="s">
        <v>12</v>
      </c>
      <c r="B11" s="10">
        <f t="shared" si="1"/>
        <v>11.6</v>
      </c>
      <c r="C11" s="10">
        <f t="shared" si="0"/>
        <v>35.200000000000003</v>
      </c>
      <c r="D11" s="10">
        <f t="shared" si="0"/>
        <v>21.3</v>
      </c>
      <c r="E11" s="10">
        <f t="shared" si="0"/>
        <v>43</v>
      </c>
      <c r="F11" s="10">
        <f t="shared" si="0"/>
        <v>21.3</v>
      </c>
      <c r="K11" s="45" t="s">
        <v>14</v>
      </c>
      <c r="L11">
        <v>18.399999999999999</v>
      </c>
      <c r="M11">
        <v>55.6</v>
      </c>
      <c r="N11">
        <v>33.799999999999997</v>
      </c>
      <c r="O11">
        <v>67.900000000000006</v>
      </c>
      <c r="P11">
        <v>33.799999999999997</v>
      </c>
      <c r="S11" s="2" t="s">
        <v>4</v>
      </c>
      <c r="T11" s="2">
        <v>2.7</v>
      </c>
      <c r="U11" s="2">
        <v>7.6</v>
      </c>
      <c r="V11" s="2">
        <v>4.2</v>
      </c>
      <c r="W11" s="2">
        <v>8.9</v>
      </c>
      <c r="X11" s="2">
        <v>4.2</v>
      </c>
    </row>
    <row r="12" spans="1:24" ht="14.4" x14ac:dyDescent="0.3">
      <c r="A12" s="7" t="s">
        <v>14</v>
      </c>
      <c r="B12" s="10">
        <f t="shared" si="1"/>
        <v>18.399999999999999</v>
      </c>
      <c r="C12" s="10">
        <f t="shared" si="0"/>
        <v>55.6</v>
      </c>
      <c r="D12" s="10">
        <f t="shared" si="0"/>
        <v>33.799999999999997</v>
      </c>
      <c r="E12" s="10">
        <f t="shared" si="0"/>
        <v>67.900000000000006</v>
      </c>
      <c r="F12" s="10">
        <f t="shared" si="0"/>
        <v>33.799999999999997</v>
      </c>
      <c r="K12" s="45" t="s">
        <v>4</v>
      </c>
      <c r="L12">
        <v>2.7</v>
      </c>
      <c r="M12">
        <v>7.6</v>
      </c>
      <c r="N12">
        <v>4.2</v>
      </c>
      <c r="O12">
        <v>8.9</v>
      </c>
      <c r="P12">
        <v>4.2</v>
      </c>
      <c r="S12" s="2" t="s">
        <v>18</v>
      </c>
      <c r="T12" s="2">
        <v>26.8</v>
      </c>
      <c r="U12" s="2">
        <v>79.599999999999994</v>
      </c>
      <c r="V12" s="2">
        <v>47.9</v>
      </c>
      <c r="W12" s="2">
        <v>96.8</v>
      </c>
      <c r="X12" s="2">
        <v>47.9</v>
      </c>
    </row>
    <row r="13" spans="1:24" ht="14.4" x14ac:dyDescent="0.3">
      <c r="A13" s="7" t="s">
        <v>15</v>
      </c>
      <c r="B13" s="10">
        <f t="shared" si="1"/>
        <v>0</v>
      </c>
      <c r="C13" s="10">
        <f t="shared" si="0"/>
        <v>0</v>
      </c>
      <c r="D13" s="10">
        <f t="shared" si="0"/>
        <v>0</v>
      </c>
      <c r="E13" s="10">
        <f t="shared" si="0"/>
        <v>0</v>
      </c>
      <c r="F13" s="10">
        <f t="shared" si="0"/>
        <v>0</v>
      </c>
      <c r="K13" s="45" t="s">
        <v>18</v>
      </c>
      <c r="L13">
        <v>26.8</v>
      </c>
      <c r="M13">
        <v>79.599999999999994</v>
      </c>
      <c r="N13">
        <v>47.9</v>
      </c>
      <c r="O13">
        <v>96.8</v>
      </c>
      <c r="P13">
        <v>47.9</v>
      </c>
      <c r="S13" s="2" t="s">
        <v>11</v>
      </c>
      <c r="T13" s="2">
        <v>9.4</v>
      </c>
      <c r="U13" s="2">
        <v>28.3</v>
      </c>
      <c r="V13" s="2">
        <v>16.100000000000001</v>
      </c>
      <c r="W13" s="2">
        <v>32.799999999999997</v>
      </c>
      <c r="X13" s="2">
        <v>16.100000000000001</v>
      </c>
    </row>
    <row r="14" spans="1:24" ht="14.4" x14ac:dyDescent="0.3">
      <c r="A14" s="7" t="s">
        <v>16</v>
      </c>
      <c r="B14" s="10">
        <f t="shared" si="1"/>
        <v>21.9</v>
      </c>
      <c r="C14" s="10">
        <f t="shared" si="0"/>
        <v>61.5</v>
      </c>
      <c r="D14" s="10">
        <f t="shared" si="0"/>
        <v>40.1</v>
      </c>
      <c r="E14" s="10">
        <f t="shared" si="0"/>
        <v>76.599999999999994</v>
      </c>
      <c r="F14" s="10">
        <f t="shared" si="0"/>
        <v>40.1</v>
      </c>
      <c r="K14" s="45" t="s">
        <v>11</v>
      </c>
      <c r="L14">
        <v>9.4</v>
      </c>
      <c r="M14">
        <v>28.3</v>
      </c>
      <c r="N14">
        <v>16.100000000000001</v>
      </c>
      <c r="O14">
        <v>32.799999999999997</v>
      </c>
      <c r="P14">
        <v>16.100000000000001</v>
      </c>
      <c r="S14" s="2" t="s">
        <v>25</v>
      </c>
      <c r="T14" s="2">
        <v>36.5</v>
      </c>
      <c r="U14" s="2">
        <v>110.3</v>
      </c>
      <c r="V14" s="2">
        <v>65.900000000000006</v>
      </c>
      <c r="W14" s="2">
        <v>133.4</v>
      </c>
      <c r="X14" s="2">
        <v>65.900000000000006</v>
      </c>
    </row>
    <row r="15" spans="1:24" ht="14.4" x14ac:dyDescent="0.3">
      <c r="A15" s="7" t="s">
        <v>18</v>
      </c>
      <c r="B15" s="10">
        <f t="shared" si="1"/>
        <v>26.8</v>
      </c>
      <c r="C15" s="10">
        <f t="shared" si="0"/>
        <v>79.599999999999994</v>
      </c>
      <c r="D15" s="10">
        <f t="shared" si="0"/>
        <v>47.9</v>
      </c>
      <c r="E15" s="10">
        <f t="shared" si="0"/>
        <v>96.8</v>
      </c>
      <c r="F15" s="10">
        <f t="shared" si="0"/>
        <v>47.9</v>
      </c>
      <c r="K15" s="45" t="s">
        <v>25</v>
      </c>
      <c r="L15">
        <v>36.5</v>
      </c>
      <c r="M15">
        <v>110.3</v>
      </c>
      <c r="N15">
        <v>65.900000000000006</v>
      </c>
      <c r="O15">
        <v>133.4</v>
      </c>
      <c r="P15">
        <v>65.900000000000006</v>
      </c>
      <c r="S15" s="2" t="s">
        <v>15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</row>
    <row r="16" spans="1:24" ht="14.4" x14ac:dyDescent="0.3">
      <c r="A16" s="7" t="s">
        <v>20</v>
      </c>
      <c r="B16" s="10">
        <f t="shared" si="1"/>
        <v>28.5</v>
      </c>
      <c r="C16" s="10">
        <f t="shared" si="0"/>
        <v>85.4</v>
      </c>
      <c r="D16" s="10">
        <f t="shared" si="0"/>
        <v>52.3</v>
      </c>
      <c r="E16" s="10">
        <f t="shared" si="0"/>
        <v>106.1</v>
      </c>
      <c r="F16" s="10">
        <f t="shared" si="0"/>
        <v>52.3</v>
      </c>
      <c r="K16" s="45" t="s">
        <v>15</v>
      </c>
      <c r="L16">
        <v>0</v>
      </c>
      <c r="M16">
        <v>0</v>
      </c>
      <c r="N16">
        <v>0</v>
      </c>
      <c r="O16">
        <v>0</v>
      </c>
      <c r="P16">
        <v>0</v>
      </c>
      <c r="S16" s="2" t="s">
        <v>28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</row>
    <row r="17" spans="1:24" ht="14.4" x14ac:dyDescent="0.3">
      <c r="A17" s="7" t="s">
        <v>22</v>
      </c>
      <c r="B17" s="10">
        <f t="shared" si="1"/>
        <v>30.7</v>
      </c>
      <c r="C17" s="10">
        <f t="shared" si="0"/>
        <v>92.1</v>
      </c>
      <c r="D17" s="10">
        <f t="shared" si="0"/>
        <v>57</v>
      </c>
      <c r="E17" s="10">
        <f t="shared" si="0"/>
        <v>115.1</v>
      </c>
      <c r="F17" s="10">
        <f t="shared" si="0"/>
        <v>57</v>
      </c>
      <c r="K17" s="45" t="s">
        <v>28</v>
      </c>
      <c r="L17">
        <v>0</v>
      </c>
      <c r="M17">
        <v>0</v>
      </c>
      <c r="N17">
        <v>0</v>
      </c>
      <c r="O17">
        <v>0</v>
      </c>
      <c r="P17">
        <v>0</v>
      </c>
      <c r="S17" s="2" t="s">
        <v>19</v>
      </c>
      <c r="T17" s="2">
        <v>28</v>
      </c>
      <c r="U17" s="2">
        <v>83.2</v>
      </c>
      <c r="V17" s="2">
        <v>50.1</v>
      </c>
      <c r="W17" s="2">
        <v>101.3</v>
      </c>
      <c r="X17" s="2">
        <v>50.1</v>
      </c>
    </row>
    <row r="18" spans="1:24" ht="14.4" x14ac:dyDescent="0.3">
      <c r="A18" s="7" t="s">
        <v>23</v>
      </c>
      <c r="B18" s="10">
        <f t="shared" si="1"/>
        <v>33.799999999999997</v>
      </c>
      <c r="C18" s="10">
        <f t="shared" si="0"/>
        <v>101.3</v>
      </c>
      <c r="D18" s="10">
        <f t="shared" si="0"/>
        <v>61.4</v>
      </c>
      <c r="E18" s="10">
        <f t="shared" si="0"/>
        <v>124.4</v>
      </c>
      <c r="F18" s="10">
        <f t="shared" si="0"/>
        <v>61.4</v>
      </c>
      <c r="K18" s="45" t="s">
        <v>19</v>
      </c>
      <c r="L18">
        <v>28</v>
      </c>
      <c r="M18">
        <v>83.2</v>
      </c>
      <c r="N18">
        <v>50.1</v>
      </c>
      <c r="O18">
        <v>101.3</v>
      </c>
      <c r="P18">
        <v>50.1</v>
      </c>
      <c r="S18" s="2" t="s">
        <v>21</v>
      </c>
      <c r="T18" s="2">
        <v>29.1</v>
      </c>
      <c r="U18" s="2">
        <v>87.6</v>
      </c>
      <c r="V18" s="2">
        <v>53.7</v>
      </c>
      <c r="W18" s="2">
        <v>108.8</v>
      </c>
      <c r="X18" s="2">
        <v>53.7</v>
      </c>
    </row>
    <row r="19" spans="1:24" ht="14.4" x14ac:dyDescent="0.3">
      <c r="A19" s="7" t="s">
        <v>24</v>
      </c>
      <c r="B19" s="10">
        <f t="shared" si="1"/>
        <v>34.700000000000003</v>
      </c>
      <c r="C19" s="10">
        <f t="shared" si="0"/>
        <v>106.1</v>
      </c>
      <c r="D19" s="10">
        <f t="shared" si="0"/>
        <v>63.6</v>
      </c>
      <c r="E19" s="10">
        <f t="shared" si="0"/>
        <v>128.6</v>
      </c>
      <c r="F19" s="10">
        <f t="shared" si="0"/>
        <v>63.6</v>
      </c>
      <c r="K19" s="45" t="s">
        <v>21</v>
      </c>
      <c r="L19">
        <v>29.1</v>
      </c>
      <c r="M19">
        <v>87.6</v>
      </c>
      <c r="N19">
        <v>53.7</v>
      </c>
      <c r="O19">
        <v>108.8</v>
      </c>
      <c r="P19">
        <v>53.7</v>
      </c>
      <c r="S19" s="2" t="s">
        <v>20</v>
      </c>
      <c r="T19" s="2">
        <v>28.5</v>
      </c>
      <c r="U19" s="2">
        <v>85.4</v>
      </c>
      <c r="V19" s="2">
        <v>52.3</v>
      </c>
      <c r="W19" s="2">
        <v>106.1</v>
      </c>
      <c r="X19" s="2">
        <v>52.3</v>
      </c>
    </row>
    <row r="20" spans="1:24" ht="14.4" x14ac:dyDescent="0.3">
      <c r="A20" s="7" t="s">
        <v>28</v>
      </c>
      <c r="B20" s="10">
        <f t="shared" si="1"/>
        <v>0</v>
      </c>
      <c r="C20" s="10">
        <f t="shared" si="0"/>
        <v>0</v>
      </c>
      <c r="D20" s="10">
        <f t="shared" si="0"/>
        <v>0</v>
      </c>
      <c r="E20" s="10">
        <f t="shared" si="0"/>
        <v>0</v>
      </c>
      <c r="F20" s="10">
        <f t="shared" si="0"/>
        <v>0</v>
      </c>
      <c r="K20" s="45" t="s">
        <v>20</v>
      </c>
      <c r="L20">
        <v>28.5</v>
      </c>
      <c r="M20">
        <v>85.4</v>
      </c>
      <c r="N20">
        <v>52.3</v>
      </c>
      <c r="O20">
        <v>106.1</v>
      </c>
      <c r="P20">
        <v>52.3</v>
      </c>
      <c r="S20" s="2" t="s">
        <v>9</v>
      </c>
      <c r="T20" s="2">
        <v>6.6</v>
      </c>
      <c r="U20" s="2">
        <v>18</v>
      </c>
      <c r="V20" s="2">
        <v>11</v>
      </c>
      <c r="W20" s="2">
        <v>22.5</v>
      </c>
      <c r="X20" s="2">
        <v>11</v>
      </c>
    </row>
    <row r="21" spans="1:24" ht="14.4" x14ac:dyDescent="0.3">
      <c r="A21" s="7" t="s">
        <v>57</v>
      </c>
      <c r="B21" s="10">
        <f t="shared" si="1"/>
        <v>41.3</v>
      </c>
      <c r="C21" s="10">
        <f t="shared" si="0"/>
        <v>124.4</v>
      </c>
      <c r="D21" s="10">
        <f t="shared" si="0"/>
        <v>75</v>
      </c>
      <c r="E21" s="10">
        <f t="shared" si="0"/>
        <v>151.5</v>
      </c>
      <c r="F21" s="10">
        <f t="shared" si="0"/>
        <v>75</v>
      </c>
      <c r="K21" s="45" t="s">
        <v>9</v>
      </c>
      <c r="L21">
        <v>6.6</v>
      </c>
      <c r="M21">
        <v>18</v>
      </c>
      <c r="N21">
        <v>11</v>
      </c>
      <c r="O21">
        <v>22.5</v>
      </c>
      <c r="P21">
        <v>11</v>
      </c>
      <c r="S21" s="2" t="s">
        <v>33</v>
      </c>
      <c r="T21" s="2">
        <v>41.5</v>
      </c>
      <c r="U21" s="2">
        <v>124.4</v>
      </c>
      <c r="V21" s="2">
        <v>75</v>
      </c>
      <c r="W21" s="2">
        <v>151.5</v>
      </c>
      <c r="X21" s="2">
        <v>75</v>
      </c>
    </row>
    <row r="22" spans="1:24" ht="14.4" x14ac:dyDescent="0.3">
      <c r="A22" s="7" t="s">
        <v>58</v>
      </c>
      <c r="B22" s="10">
        <f t="shared" si="1"/>
        <v>-1</v>
      </c>
      <c r="C22" s="10">
        <f t="shared" si="1"/>
        <v>-1</v>
      </c>
      <c r="D22" s="10">
        <f t="shared" si="1"/>
        <v>-1</v>
      </c>
      <c r="E22" s="10">
        <f t="shared" si="1"/>
        <v>-1</v>
      </c>
      <c r="F22" s="10">
        <f t="shared" si="1"/>
        <v>-1</v>
      </c>
      <c r="K22" s="45" t="s">
        <v>33</v>
      </c>
      <c r="L22">
        <v>41.5</v>
      </c>
      <c r="M22">
        <v>124.4</v>
      </c>
      <c r="N22">
        <v>75</v>
      </c>
      <c r="O22">
        <v>151.5</v>
      </c>
      <c r="P22">
        <v>75</v>
      </c>
      <c r="S22" s="2" t="s">
        <v>22</v>
      </c>
      <c r="T22" s="2">
        <v>30.7</v>
      </c>
      <c r="U22" s="2">
        <v>92.1</v>
      </c>
      <c r="V22" s="2">
        <v>57</v>
      </c>
      <c r="W22" s="2">
        <v>115.1</v>
      </c>
      <c r="X22" s="2">
        <v>57</v>
      </c>
    </row>
    <row r="23" spans="1:24" ht="14.4" x14ac:dyDescent="0.3">
      <c r="A23" s="7" t="s">
        <v>31</v>
      </c>
      <c r="B23" s="10">
        <f t="shared" si="1"/>
        <v>45</v>
      </c>
      <c r="C23" s="10">
        <f t="shared" si="1"/>
        <v>133.4</v>
      </c>
      <c r="D23" s="10">
        <f t="shared" si="1"/>
        <v>79.400000000000006</v>
      </c>
      <c r="E23" s="10">
        <f t="shared" si="1"/>
        <v>160.9</v>
      </c>
      <c r="F23" s="10">
        <f t="shared" si="1"/>
        <v>79.400000000000006</v>
      </c>
      <c r="K23" s="45" t="s">
        <v>22</v>
      </c>
      <c r="L23">
        <v>30.7</v>
      </c>
      <c r="M23">
        <v>92.1</v>
      </c>
      <c r="N23">
        <v>57</v>
      </c>
      <c r="O23">
        <v>115.1</v>
      </c>
      <c r="P23">
        <v>57</v>
      </c>
      <c r="S23" s="2" t="s">
        <v>35</v>
      </c>
      <c r="T23" s="2">
        <v>44.5</v>
      </c>
      <c r="U23" s="2">
        <v>133.4</v>
      </c>
      <c r="V23" s="2">
        <v>81.8</v>
      </c>
      <c r="W23" s="2">
        <v>165.3</v>
      </c>
      <c r="X23" s="2">
        <v>81.8</v>
      </c>
    </row>
    <row r="24" spans="1:24" ht="14.4" x14ac:dyDescent="0.3">
      <c r="A24" s="7" t="s">
        <v>32</v>
      </c>
      <c r="B24" s="10">
        <f t="shared" si="1"/>
        <v>-1</v>
      </c>
      <c r="C24" s="10">
        <f t="shared" si="1"/>
        <v>-1</v>
      </c>
      <c r="D24" s="10">
        <f t="shared" si="1"/>
        <v>-1</v>
      </c>
      <c r="E24" s="10">
        <f t="shared" si="1"/>
        <v>-1</v>
      </c>
      <c r="F24" s="10">
        <f t="shared" si="1"/>
        <v>-1</v>
      </c>
      <c r="K24" s="45" t="s">
        <v>35</v>
      </c>
      <c r="L24">
        <v>44.5</v>
      </c>
      <c r="M24">
        <v>133.4</v>
      </c>
      <c r="N24">
        <v>81.8</v>
      </c>
      <c r="O24">
        <v>165.3</v>
      </c>
      <c r="P24">
        <v>81.8</v>
      </c>
      <c r="S24" s="2" t="s">
        <v>36</v>
      </c>
      <c r="T24" s="2">
        <v>47.3</v>
      </c>
      <c r="U24" s="2">
        <v>142.5</v>
      </c>
      <c r="V24" s="2">
        <v>86.4</v>
      </c>
      <c r="W24" s="2">
        <v>174.2</v>
      </c>
      <c r="X24" s="2">
        <v>86.4</v>
      </c>
    </row>
    <row r="25" spans="1:24" ht="14.4" x14ac:dyDescent="0.3">
      <c r="A25" s="7" t="s">
        <v>34</v>
      </c>
      <c r="B25" s="10">
        <f t="shared" si="1"/>
        <v>43.3</v>
      </c>
      <c r="C25" s="10">
        <f t="shared" si="1"/>
        <v>128.6</v>
      </c>
      <c r="D25" s="10">
        <f t="shared" si="1"/>
        <v>79.400000000000006</v>
      </c>
      <c r="E25" s="10">
        <f t="shared" si="1"/>
        <v>160.9</v>
      </c>
      <c r="F25" s="10">
        <f t="shared" si="1"/>
        <v>79.400000000000006</v>
      </c>
      <c r="K25" s="45" t="s">
        <v>36</v>
      </c>
      <c r="L25">
        <v>47.3</v>
      </c>
      <c r="M25">
        <v>142.5</v>
      </c>
      <c r="N25">
        <v>86.4</v>
      </c>
      <c r="O25">
        <v>174.2</v>
      </c>
      <c r="P25">
        <v>86.4</v>
      </c>
      <c r="S25" s="2" t="s">
        <v>32</v>
      </c>
      <c r="T25" s="2">
        <v>-1</v>
      </c>
      <c r="U25" s="2">
        <v>-1</v>
      </c>
      <c r="V25" s="2">
        <v>-1</v>
      </c>
      <c r="W25" s="2">
        <v>-1</v>
      </c>
      <c r="X25" s="2">
        <v>-1</v>
      </c>
    </row>
    <row r="26" spans="1:24" ht="14.4" x14ac:dyDescent="0.3">
      <c r="A26" s="7" t="s">
        <v>37</v>
      </c>
      <c r="B26" s="10">
        <f t="shared" si="1"/>
        <v>49.1</v>
      </c>
      <c r="C26" s="10">
        <f t="shared" si="1"/>
        <v>146.80000000000001</v>
      </c>
      <c r="D26" s="10">
        <f t="shared" si="1"/>
        <v>90.9</v>
      </c>
      <c r="E26" s="10">
        <f t="shared" si="1"/>
        <v>183.5</v>
      </c>
      <c r="F26" s="10">
        <f t="shared" si="1"/>
        <v>90.9</v>
      </c>
      <c r="K26" s="45" t="s">
        <v>32</v>
      </c>
      <c r="L26">
        <v>-1</v>
      </c>
      <c r="M26">
        <v>-1</v>
      </c>
      <c r="N26">
        <v>-1</v>
      </c>
      <c r="O26">
        <v>-1</v>
      </c>
      <c r="P26">
        <v>-1</v>
      </c>
      <c r="S26" s="2" t="s">
        <v>24</v>
      </c>
      <c r="T26" s="2">
        <v>34.700000000000003</v>
      </c>
      <c r="U26" s="2">
        <v>106.1</v>
      </c>
      <c r="V26" s="2">
        <v>63.6</v>
      </c>
      <c r="W26" s="2">
        <v>128.6</v>
      </c>
      <c r="X26" s="2">
        <v>63.6</v>
      </c>
    </row>
    <row r="27" spans="1:24" ht="14.4" x14ac:dyDescent="0.3">
      <c r="A27" s="7" t="s">
        <v>39</v>
      </c>
      <c r="B27" s="10">
        <f t="shared" si="1"/>
        <v>51.8</v>
      </c>
      <c r="C27" s="10">
        <f t="shared" si="1"/>
        <v>156.4</v>
      </c>
      <c r="D27" s="10">
        <f t="shared" si="1"/>
        <v>93.1</v>
      </c>
      <c r="E27" s="10">
        <f t="shared" si="1"/>
        <v>188.1</v>
      </c>
      <c r="F27" s="10">
        <f t="shared" si="1"/>
        <v>93.1</v>
      </c>
      <c r="K27" s="45" t="s">
        <v>24</v>
      </c>
      <c r="L27">
        <v>34.700000000000003</v>
      </c>
      <c r="M27">
        <v>106.1</v>
      </c>
      <c r="N27">
        <v>63.6</v>
      </c>
      <c r="O27">
        <v>128.6</v>
      </c>
      <c r="P27">
        <v>63.6</v>
      </c>
      <c r="S27" s="2" t="s">
        <v>31</v>
      </c>
      <c r="T27" s="2">
        <v>45</v>
      </c>
      <c r="U27" s="2">
        <v>133.4</v>
      </c>
      <c r="V27" s="2">
        <v>79.400000000000006</v>
      </c>
      <c r="W27" s="2">
        <v>160.9</v>
      </c>
      <c r="X27" s="2">
        <v>79.400000000000006</v>
      </c>
    </row>
    <row r="28" spans="1:24" ht="14.4" x14ac:dyDescent="0.3">
      <c r="A28" s="17" t="s">
        <v>82</v>
      </c>
      <c r="B28" s="10">
        <f>MIN(B6:B27)</f>
        <v>-1</v>
      </c>
      <c r="C28" s="10">
        <f t="shared" ref="C28:F28" si="2">MIN(C6:C27)</f>
        <v>-1</v>
      </c>
      <c r="D28" s="10">
        <f t="shared" si="2"/>
        <v>-1</v>
      </c>
      <c r="E28" s="10">
        <f t="shared" si="2"/>
        <v>-1</v>
      </c>
      <c r="F28" s="10">
        <f t="shared" si="2"/>
        <v>-1</v>
      </c>
      <c r="K28" s="45" t="s">
        <v>31</v>
      </c>
      <c r="L28">
        <v>45</v>
      </c>
      <c r="M28">
        <v>133.4</v>
      </c>
      <c r="N28">
        <v>79.400000000000006</v>
      </c>
      <c r="O28">
        <v>160.9</v>
      </c>
      <c r="P28">
        <v>79.400000000000006</v>
      </c>
      <c r="S28" s="2" t="s">
        <v>10</v>
      </c>
      <c r="T28" s="2">
        <v>7.1</v>
      </c>
      <c r="U28" s="2">
        <v>21.5</v>
      </c>
      <c r="V28" s="2">
        <v>12.8</v>
      </c>
      <c r="W28" s="2">
        <v>26.1</v>
      </c>
      <c r="X28" s="2">
        <v>12.8</v>
      </c>
    </row>
    <row r="29" spans="1:24" ht="14.4" x14ac:dyDescent="0.3">
      <c r="A29" s="17" t="s">
        <v>83</v>
      </c>
      <c r="B29" s="10">
        <f>MAX(B6:B27)</f>
        <v>51.8</v>
      </c>
      <c r="C29" s="10">
        <f t="shared" ref="C29:F29" si="3">MAX(C6:C27)</f>
        <v>156.4</v>
      </c>
      <c r="D29" s="10">
        <f t="shared" si="3"/>
        <v>93.1</v>
      </c>
      <c r="E29" s="10">
        <f t="shared" si="3"/>
        <v>188.1</v>
      </c>
      <c r="F29" s="10">
        <f t="shared" si="3"/>
        <v>93.1</v>
      </c>
      <c r="K29" s="45" t="s">
        <v>10</v>
      </c>
      <c r="L29">
        <v>7.1</v>
      </c>
      <c r="M29">
        <v>21.5</v>
      </c>
      <c r="N29">
        <v>12.8</v>
      </c>
      <c r="O29">
        <v>26.1</v>
      </c>
      <c r="P29">
        <v>12.8</v>
      </c>
      <c r="S29" s="2" t="s">
        <v>27</v>
      </c>
      <c r="T29" s="2">
        <v>40.1</v>
      </c>
      <c r="U29" s="2">
        <v>119.4</v>
      </c>
      <c r="V29" s="2">
        <v>72.8</v>
      </c>
      <c r="W29" s="2">
        <v>146.80000000000001</v>
      </c>
      <c r="X29" s="2">
        <v>72.8</v>
      </c>
    </row>
    <row r="30" spans="1:24" ht="14.4" x14ac:dyDescent="0.3">
      <c r="A30" s="17" t="s">
        <v>84</v>
      </c>
      <c r="B30" s="10">
        <f>AVERAGE(B6:B29)</f>
        <v>21.208333333333336</v>
      </c>
      <c r="C30" s="10">
        <f t="shared" ref="C30:F30" si="4">AVERAGE(C6:C29)</f>
        <v>63.654166666666669</v>
      </c>
      <c r="D30" s="10">
        <f t="shared" si="4"/>
        <v>38.487500000000004</v>
      </c>
      <c r="E30" s="10">
        <f t="shared" si="4"/>
        <v>77.845833333333331</v>
      </c>
      <c r="F30" s="10">
        <f t="shared" si="4"/>
        <v>38.487500000000004</v>
      </c>
      <c r="K30" s="45" t="s">
        <v>27</v>
      </c>
      <c r="L30">
        <v>40.1</v>
      </c>
      <c r="M30">
        <v>119.4</v>
      </c>
      <c r="N30">
        <v>72.8</v>
      </c>
      <c r="O30">
        <v>146.80000000000001</v>
      </c>
      <c r="P30">
        <v>72.8</v>
      </c>
      <c r="S30" s="2" t="s">
        <v>8</v>
      </c>
      <c r="T30" s="2">
        <v>4.9000000000000004</v>
      </c>
      <c r="U30" s="2">
        <v>13.3</v>
      </c>
      <c r="V30" s="2">
        <v>8.1</v>
      </c>
      <c r="W30" s="2">
        <v>17</v>
      </c>
      <c r="X30" s="2">
        <v>8.1</v>
      </c>
    </row>
    <row r="31" spans="1:24" x14ac:dyDescent="0.3">
      <c r="K31" s="45" t="s">
        <v>8</v>
      </c>
      <c r="L31">
        <v>4.9000000000000004</v>
      </c>
      <c r="M31">
        <v>13.3</v>
      </c>
      <c r="N31">
        <v>8.1</v>
      </c>
      <c r="O31">
        <v>17</v>
      </c>
      <c r="P31">
        <v>8.1</v>
      </c>
      <c r="S31" s="2" t="s">
        <v>37</v>
      </c>
      <c r="T31" s="2">
        <v>49.1</v>
      </c>
      <c r="U31" s="2">
        <v>146.80000000000001</v>
      </c>
      <c r="V31" s="2">
        <v>90.9</v>
      </c>
      <c r="W31" s="2">
        <v>183.5</v>
      </c>
      <c r="X31" s="2">
        <v>90.9</v>
      </c>
    </row>
    <row r="32" spans="1:24" x14ac:dyDescent="0.3">
      <c r="K32" s="45" t="s">
        <v>37</v>
      </c>
      <c r="L32">
        <v>49.1</v>
      </c>
      <c r="M32">
        <v>146.80000000000001</v>
      </c>
      <c r="N32">
        <v>90.9</v>
      </c>
      <c r="O32">
        <v>183.5</v>
      </c>
      <c r="P32">
        <v>90.9</v>
      </c>
      <c r="S32" s="2" t="s">
        <v>34</v>
      </c>
      <c r="T32" s="2">
        <v>43.3</v>
      </c>
      <c r="U32" s="2">
        <v>128.6</v>
      </c>
      <c r="V32" s="2">
        <v>79.400000000000006</v>
      </c>
      <c r="W32" s="2">
        <v>160.9</v>
      </c>
      <c r="X32" s="2">
        <v>79.400000000000006</v>
      </c>
    </row>
    <row r="33" spans="11:24" x14ac:dyDescent="0.3">
      <c r="K33" s="45" t="s">
        <v>34</v>
      </c>
      <c r="L33">
        <v>43.3</v>
      </c>
      <c r="M33">
        <v>128.6</v>
      </c>
      <c r="N33">
        <v>79.400000000000006</v>
      </c>
      <c r="O33">
        <v>160.9</v>
      </c>
      <c r="P33">
        <v>79.400000000000006</v>
      </c>
      <c r="S33" s="2" t="s">
        <v>23</v>
      </c>
      <c r="T33" s="2">
        <v>33.799999999999997</v>
      </c>
      <c r="U33" s="2">
        <v>101.3</v>
      </c>
      <c r="V33" s="2">
        <v>61.4</v>
      </c>
      <c r="W33" s="2">
        <v>124.4</v>
      </c>
      <c r="X33" s="2">
        <v>61.4</v>
      </c>
    </row>
    <row r="34" spans="11:24" x14ac:dyDescent="0.3">
      <c r="K34" s="45" t="s">
        <v>23</v>
      </c>
      <c r="L34">
        <v>33.799999999999997</v>
      </c>
      <c r="M34">
        <v>101.3</v>
      </c>
      <c r="N34">
        <v>61.4</v>
      </c>
      <c r="O34">
        <v>124.4</v>
      </c>
      <c r="P34">
        <v>61.4</v>
      </c>
      <c r="S34" s="2" t="s">
        <v>41</v>
      </c>
      <c r="T34" s="2">
        <v>38</v>
      </c>
      <c r="U34" s="2">
        <v>115.5</v>
      </c>
      <c r="V34" s="2">
        <v>68.7</v>
      </c>
      <c r="W34" s="2">
        <v>138.80000000000001</v>
      </c>
      <c r="X34" s="2">
        <v>68.7</v>
      </c>
    </row>
    <row r="35" spans="11:24" x14ac:dyDescent="0.3">
      <c r="K35" s="45" t="s">
        <v>41</v>
      </c>
      <c r="L35">
        <v>38</v>
      </c>
      <c r="M35">
        <v>115.5</v>
      </c>
      <c r="N35">
        <v>68.7</v>
      </c>
      <c r="O35">
        <v>138.80000000000001</v>
      </c>
      <c r="P35">
        <v>68.7</v>
      </c>
      <c r="S35" s="2" t="s">
        <v>42</v>
      </c>
      <c r="T35" s="2">
        <v>48.3</v>
      </c>
      <c r="U35" s="2">
        <v>145.5</v>
      </c>
      <c r="V35" s="2">
        <v>89</v>
      </c>
      <c r="W35" s="2">
        <v>179.8</v>
      </c>
      <c r="X35" s="2">
        <v>89</v>
      </c>
    </row>
    <row r="36" spans="11:24" x14ac:dyDescent="0.3">
      <c r="K36" s="45" t="s">
        <v>42</v>
      </c>
      <c r="L36">
        <v>48.3</v>
      </c>
      <c r="M36">
        <v>145.5</v>
      </c>
      <c r="N36">
        <v>89</v>
      </c>
      <c r="O36">
        <v>179.8</v>
      </c>
      <c r="P36">
        <v>89</v>
      </c>
      <c r="S36" s="2" t="s">
        <v>12</v>
      </c>
      <c r="T36" s="2">
        <v>11.6</v>
      </c>
      <c r="U36" s="2">
        <v>35.200000000000003</v>
      </c>
      <c r="V36" s="2">
        <v>21.3</v>
      </c>
      <c r="W36" s="2">
        <v>43</v>
      </c>
      <c r="X36" s="2">
        <v>21.3</v>
      </c>
    </row>
    <row r="37" spans="11:24" x14ac:dyDescent="0.3">
      <c r="K37" s="45" t="s">
        <v>12</v>
      </c>
      <c r="L37">
        <v>11.6</v>
      </c>
      <c r="M37">
        <v>35.200000000000003</v>
      </c>
      <c r="N37">
        <v>21.3</v>
      </c>
      <c r="O37">
        <v>43</v>
      </c>
      <c r="P37">
        <v>21.3</v>
      </c>
      <c r="S37" s="2" t="s">
        <v>58</v>
      </c>
      <c r="T37" s="2">
        <v>-1</v>
      </c>
      <c r="U37" s="2">
        <v>-1</v>
      </c>
      <c r="V37" s="2">
        <v>-1</v>
      </c>
      <c r="W37" s="2">
        <v>-1</v>
      </c>
      <c r="X37" s="2">
        <v>-1</v>
      </c>
    </row>
    <row r="38" spans="11:24" x14ac:dyDescent="0.3">
      <c r="K38" s="45" t="s">
        <v>58</v>
      </c>
      <c r="L38">
        <v>-1</v>
      </c>
      <c r="M38">
        <v>-1</v>
      </c>
      <c r="N38">
        <v>-1</v>
      </c>
      <c r="O38">
        <v>-1</v>
      </c>
      <c r="P38">
        <v>-1</v>
      </c>
      <c r="S38" s="2" t="s">
        <v>26</v>
      </c>
      <c r="T38" s="2">
        <v>38.700000000000003</v>
      </c>
      <c r="U38" s="2">
        <v>119.4</v>
      </c>
      <c r="V38" s="2">
        <v>70.400000000000006</v>
      </c>
      <c r="W38" s="2">
        <v>142.5</v>
      </c>
      <c r="X38" s="2">
        <v>70.400000000000006</v>
      </c>
    </row>
    <row r="39" spans="11:24" x14ac:dyDescent="0.3">
      <c r="K39" s="45" t="s">
        <v>26</v>
      </c>
      <c r="L39">
        <v>38.700000000000003</v>
      </c>
      <c r="M39">
        <v>119.4</v>
      </c>
      <c r="N39">
        <v>70.400000000000006</v>
      </c>
      <c r="O39">
        <v>142.5</v>
      </c>
      <c r="P39">
        <v>70.400000000000006</v>
      </c>
      <c r="S39" s="2" t="s">
        <v>57</v>
      </c>
      <c r="T39" s="2">
        <v>41.3</v>
      </c>
      <c r="U39" s="2">
        <v>124.4</v>
      </c>
      <c r="V39" s="2">
        <v>75</v>
      </c>
      <c r="W39" s="2">
        <v>151.5</v>
      </c>
      <c r="X39" s="2">
        <v>75</v>
      </c>
    </row>
    <row r="40" spans="11:24" x14ac:dyDescent="0.3">
      <c r="K40" s="45" t="s">
        <v>57</v>
      </c>
      <c r="L40">
        <v>41.3</v>
      </c>
      <c r="M40">
        <v>124.4</v>
      </c>
      <c r="N40">
        <v>75</v>
      </c>
      <c r="O40">
        <v>151.5</v>
      </c>
      <c r="P40">
        <v>75</v>
      </c>
      <c r="S40" s="2" t="s">
        <v>40</v>
      </c>
      <c r="T40" s="2">
        <v>2.7</v>
      </c>
      <c r="U40" s="2">
        <v>7.6</v>
      </c>
      <c r="V40" s="2">
        <v>4.2</v>
      </c>
      <c r="W40" s="2">
        <v>8.9</v>
      </c>
      <c r="X40" s="2">
        <v>4.2</v>
      </c>
    </row>
    <row r="41" spans="11:24" x14ac:dyDescent="0.3">
      <c r="K41" s="45" t="s">
        <v>40</v>
      </c>
      <c r="L41">
        <v>2.7</v>
      </c>
      <c r="M41">
        <v>7.6</v>
      </c>
      <c r="N41">
        <v>4.2</v>
      </c>
      <c r="O41">
        <v>8.9</v>
      </c>
      <c r="P41">
        <v>4.2</v>
      </c>
      <c r="S41" s="2" t="s">
        <v>38</v>
      </c>
      <c r="T41" s="2">
        <v>50.6</v>
      </c>
      <c r="U41" s="2">
        <v>151.5</v>
      </c>
      <c r="V41" s="2">
        <v>93.1</v>
      </c>
      <c r="W41" s="2">
        <v>188.1</v>
      </c>
      <c r="X41" s="2">
        <v>93.1</v>
      </c>
    </row>
    <row r="42" spans="11:24" x14ac:dyDescent="0.3">
      <c r="K42" s="45" t="s">
        <v>38</v>
      </c>
      <c r="L42">
        <v>50.6</v>
      </c>
      <c r="M42">
        <v>151.5</v>
      </c>
      <c r="N42">
        <v>93.1</v>
      </c>
      <c r="O42">
        <v>188.1</v>
      </c>
      <c r="P42">
        <v>93.1</v>
      </c>
      <c r="S42" s="2" t="s">
        <v>29</v>
      </c>
      <c r="T42" s="2">
        <v>42.3</v>
      </c>
      <c r="U42" s="2">
        <v>124.4</v>
      </c>
      <c r="V42" s="2">
        <v>75</v>
      </c>
      <c r="W42" s="2">
        <v>151.5</v>
      </c>
      <c r="X42" s="2">
        <v>75</v>
      </c>
    </row>
    <row r="43" spans="11:24" x14ac:dyDescent="0.3">
      <c r="K43" s="45" t="s">
        <v>29</v>
      </c>
      <c r="L43">
        <v>42.3</v>
      </c>
      <c r="M43">
        <v>124.4</v>
      </c>
      <c r="N43">
        <v>75</v>
      </c>
      <c r="O43">
        <v>151.5</v>
      </c>
      <c r="P43">
        <v>75</v>
      </c>
      <c r="S43" s="2" t="s">
        <v>16</v>
      </c>
      <c r="T43" s="2">
        <v>21.9</v>
      </c>
      <c r="U43" s="2">
        <v>61.5</v>
      </c>
      <c r="V43" s="2">
        <v>40.1</v>
      </c>
      <c r="W43" s="2">
        <v>76.599999999999994</v>
      </c>
      <c r="X43" s="2">
        <v>40.1</v>
      </c>
    </row>
    <row r="44" spans="11:24" x14ac:dyDescent="0.3">
      <c r="K44" s="45" t="s">
        <v>16</v>
      </c>
      <c r="L44">
        <v>21.9</v>
      </c>
      <c r="M44">
        <v>61.5</v>
      </c>
      <c r="N44">
        <v>40.1</v>
      </c>
      <c r="O44">
        <v>76.599999999999994</v>
      </c>
      <c r="P44">
        <v>40.1</v>
      </c>
      <c r="S44" s="2" t="s">
        <v>39</v>
      </c>
      <c r="T44" s="2">
        <v>51.8</v>
      </c>
      <c r="U44" s="2">
        <v>156.4</v>
      </c>
      <c r="V44" s="2">
        <v>93.1</v>
      </c>
      <c r="W44" s="2">
        <v>188.1</v>
      </c>
      <c r="X44" s="2">
        <v>93.1</v>
      </c>
    </row>
    <row r="45" spans="11:24" x14ac:dyDescent="0.3">
      <c r="K45" s="45" t="s">
        <v>39</v>
      </c>
      <c r="L45">
        <v>51.8</v>
      </c>
      <c r="M45">
        <v>156.4</v>
      </c>
      <c r="N45">
        <v>93.1</v>
      </c>
      <c r="O45">
        <v>188.1</v>
      </c>
      <c r="P45">
        <v>93.1</v>
      </c>
      <c r="S45" s="2" t="s">
        <v>177</v>
      </c>
      <c r="T45" s="2">
        <v>1039.7</v>
      </c>
      <c r="U45" s="2">
        <v>3117.3</v>
      </c>
      <c r="V45" s="2">
        <v>1886.3</v>
      </c>
      <c r="W45" s="2">
        <v>3813.8</v>
      </c>
      <c r="X45" s="2">
        <v>1886.3</v>
      </c>
    </row>
    <row r="46" spans="11:24" x14ac:dyDescent="0.3">
      <c r="K46" s="45" t="s">
        <v>177</v>
      </c>
      <c r="L46">
        <v>1039.7</v>
      </c>
      <c r="M46">
        <v>3117.3</v>
      </c>
      <c r="N46">
        <v>1886.3</v>
      </c>
      <c r="O46">
        <v>3813.8</v>
      </c>
      <c r="P46">
        <v>1886.3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V54"/>
  <sheetViews>
    <sheetView topLeftCell="C6" zoomScaleNormal="100" workbookViewId="0">
      <selection activeCell="K13" sqref="K13"/>
    </sheetView>
  </sheetViews>
  <sheetFormatPr defaultColWidth="11" defaultRowHeight="14.4" x14ac:dyDescent="0.3"/>
  <cols>
    <col min="1" max="1" width="39.77734375" style="1" bestFit="1" customWidth="1"/>
    <col min="2" max="17" width="11" style="1"/>
    <col min="18" max="18" width="24.44140625" style="1" bestFit="1" customWidth="1"/>
    <col min="19" max="16384" width="11" style="1"/>
  </cols>
  <sheetData>
    <row r="1" spans="1:22" s="38" customFormat="1" ht="21" x14ac:dyDescent="0.4">
      <c r="A1" s="39" t="s">
        <v>56</v>
      </c>
      <c r="B1" s="38" t="s">
        <v>174</v>
      </c>
      <c r="R1" s="7">
        <v>20000</v>
      </c>
      <c r="S1" s="38" t="s">
        <v>5</v>
      </c>
      <c r="T1" s="38">
        <v>0</v>
      </c>
      <c r="U1" s="38" t="s">
        <v>6</v>
      </c>
      <c r="V1" s="38">
        <v>24</v>
      </c>
    </row>
    <row r="2" spans="1:22" customFormat="1" x14ac:dyDescent="0.3">
      <c r="R2" s="7">
        <v>20002</v>
      </c>
      <c r="S2" t="s">
        <v>5</v>
      </c>
      <c r="T2">
        <v>0</v>
      </c>
      <c r="U2" t="s">
        <v>6</v>
      </c>
      <c r="V2">
        <v>24</v>
      </c>
    </row>
    <row r="3" spans="1:22" s="2" customFormat="1" x14ac:dyDescent="0.3">
      <c r="B3" s="1"/>
      <c r="R3" s="7">
        <v>20004</v>
      </c>
      <c r="S3" s="2" t="s">
        <v>5</v>
      </c>
      <c r="T3" s="2">
        <v>0</v>
      </c>
      <c r="U3" s="2" t="s">
        <v>6</v>
      </c>
      <c r="V3" s="2">
        <v>24</v>
      </c>
    </row>
    <row r="4" spans="1:22" s="2" customFormat="1" x14ac:dyDescent="0.3">
      <c r="B4" s="1" t="s">
        <v>151</v>
      </c>
      <c r="R4" s="7">
        <v>20006</v>
      </c>
      <c r="S4" s="2" t="s">
        <v>5</v>
      </c>
      <c r="T4" s="2">
        <v>0</v>
      </c>
      <c r="U4" s="2" t="s">
        <v>6</v>
      </c>
      <c r="V4" s="2">
        <v>24</v>
      </c>
    </row>
    <row r="5" spans="1:22" ht="18" x14ac:dyDescent="0.35">
      <c r="A5" s="40" t="s">
        <v>53</v>
      </c>
      <c r="B5" s="37" t="s">
        <v>189</v>
      </c>
      <c r="R5" s="7">
        <v>20008</v>
      </c>
      <c r="S5" s="1" t="s">
        <v>5</v>
      </c>
      <c r="T5" s="1">
        <v>0</v>
      </c>
      <c r="U5" s="1" t="s">
        <v>6</v>
      </c>
      <c r="V5" s="1">
        <v>24</v>
      </c>
    </row>
    <row r="6" spans="1:22" ht="18" x14ac:dyDescent="0.35">
      <c r="A6" s="40" t="s">
        <v>153</v>
      </c>
      <c r="B6" s="37" t="s">
        <v>190</v>
      </c>
      <c r="R6" s="7">
        <v>20010</v>
      </c>
      <c r="S6" s="1" t="s">
        <v>5</v>
      </c>
      <c r="T6" s="1">
        <v>0</v>
      </c>
      <c r="U6" s="1" t="s">
        <v>6</v>
      </c>
      <c r="V6" s="1">
        <v>24</v>
      </c>
    </row>
    <row r="7" spans="1:22" ht="18" x14ac:dyDescent="0.35">
      <c r="A7" s="40"/>
      <c r="B7" s="37"/>
      <c r="R7" s="7">
        <v>20012</v>
      </c>
      <c r="S7" s="1" t="s">
        <v>5</v>
      </c>
      <c r="T7" s="1">
        <v>0</v>
      </c>
      <c r="U7" s="1" t="s">
        <v>6</v>
      </c>
      <c r="V7" s="1">
        <v>24</v>
      </c>
    </row>
    <row r="8" spans="1:22" x14ac:dyDescent="0.3">
      <c r="R8" s="7">
        <v>20014</v>
      </c>
      <c r="S8" s="1" t="s">
        <v>5</v>
      </c>
      <c r="T8" s="1">
        <v>0</v>
      </c>
      <c r="U8" s="1" t="s">
        <v>6</v>
      </c>
      <c r="V8" s="1">
        <v>24</v>
      </c>
    </row>
    <row r="9" spans="1:22" ht="23.4" x14ac:dyDescent="0.45">
      <c r="A9" s="16" t="s">
        <v>165</v>
      </c>
      <c r="I9" s="2"/>
      <c r="J9" s="2"/>
      <c r="R9" s="7">
        <v>20016</v>
      </c>
      <c r="S9" s="1" t="s">
        <v>5</v>
      </c>
      <c r="T9" s="1">
        <v>0</v>
      </c>
      <c r="U9" s="1" t="s">
        <v>6</v>
      </c>
      <c r="V9" s="1">
        <v>24</v>
      </c>
    </row>
    <row r="10" spans="1:22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  <c r="R10" s="7">
        <v>20018</v>
      </c>
      <c r="S10" s="1" t="s">
        <v>5</v>
      </c>
      <c r="T10" s="1">
        <v>0</v>
      </c>
      <c r="U10" s="1" t="s">
        <v>6</v>
      </c>
      <c r="V10" s="1">
        <v>24</v>
      </c>
    </row>
    <row r="11" spans="1:22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  <c r="R11" s="7">
        <v>20020</v>
      </c>
      <c r="S11" s="1" t="s">
        <v>5</v>
      </c>
      <c r="T11" s="1">
        <v>0</v>
      </c>
      <c r="U11" s="1" t="s">
        <v>6</v>
      </c>
      <c r="V11" s="1">
        <v>24</v>
      </c>
    </row>
    <row r="12" spans="1:22" x14ac:dyDescent="0.3">
      <c r="R12" s="7">
        <v>20022</v>
      </c>
      <c r="S12" s="1" t="s">
        <v>5</v>
      </c>
      <c r="T12" s="1">
        <v>0</v>
      </c>
      <c r="U12" s="1" t="s">
        <v>6</v>
      </c>
      <c r="V12" s="1">
        <v>24</v>
      </c>
    </row>
    <row r="13" spans="1:22" x14ac:dyDescent="0.3">
      <c r="R13" s="7">
        <v>20024</v>
      </c>
      <c r="S13" s="1" t="s">
        <v>5</v>
      </c>
      <c r="T13" s="1">
        <v>0</v>
      </c>
      <c r="U13" s="1" t="s">
        <v>6</v>
      </c>
      <c r="V13" s="1">
        <v>24</v>
      </c>
    </row>
    <row r="14" spans="1:22" ht="23.4" x14ac:dyDescent="0.45">
      <c r="A14" s="16" t="s">
        <v>162</v>
      </c>
      <c r="R14" s="7">
        <v>20026</v>
      </c>
      <c r="S14" s="1" t="s">
        <v>5</v>
      </c>
      <c r="T14" s="1">
        <v>0</v>
      </c>
      <c r="U14" s="1" t="s">
        <v>6</v>
      </c>
      <c r="V14" s="1">
        <v>24</v>
      </c>
    </row>
    <row r="15" spans="1:22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  <c r="R15" s="7">
        <v>20028</v>
      </c>
      <c r="S15" s="1" t="s">
        <v>5</v>
      </c>
      <c r="T15" s="1">
        <v>0</v>
      </c>
      <c r="U15" s="1" t="s">
        <v>6</v>
      </c>
      <c r="V15" s="1">
        <v>24</v>
      </c>
    </row>
    <row r="16" spans="1:22" x14ac:dyDescent="0.3">
      <c r="A16" s="7" t="s">
        <v>121</v>
      </c>
      <c r="B16" s="10" t="str">
        <f>LEFT(A16,5)</f>
        <v>20000</v>
      </c>
      <c r="C16" s="2" t="s">
        <v>5</v>
      </c>
      <c r="D16">
        <v>0</v>
      </c>
      <c r="E16" t="s">
        <v>6</v>
      </c>
      <c r="F16">
        <v>24</v>
      </c>
      <c r="R16" s="7">
        <v>20030</v>
      </c>
      <c r="S16" s="1" t="s">
        <v>5</v>
      </c>
      <c r="T16" s="1">
        <v>0</v>
      </c>
      <c r="U16" s="1" t="s">
        <v>6</v>
      </c>
      <c r="V16" s="1">
        <v>24</v>
      </c>
    </row>
    <row r="17" spans="1:22" x14ac:dyDescent="0.3">
      <c r="A17" s="7" t="s">
        <v>122</v>
      </c>
      <c r="B17" s="10" t="str">
        <f t="shared" ref="B17:B54" si="0">LEFT(A17,5)</f>
        <v>20002</v>
      </c>
      <c r="C17" s="2" t="s">
        <v>5</v>
      </c>
      <c r="D17" s="2">
        <v>0</v>
      </c>
      <c r="E17" t="s">
        <v>6</v>
      </c>
      <c r="F17">
        <v>24</v>
      </c>
      <c r="R17" s="7">
        <v>20032</v>
      </c>
      <c r="S17" s="1" t="s">
        <v>5</v>
      </c>
      <c r="T17" s="1">
        <v>0</v>
      </c>
      <c r="U17" s="1" t="s">
        <v>6</v>
      </c>
      <c r="V17" s="1">
        <v>24</v>
      </c>
    </row>
    <row r="18" spans="1:22" x14ac:dyDescent="0.3">
      <c r="A18" s="7" t="s">
        <v>123</v>
      </c>
      <c r="B18" s="10" t="str">
        <f t="shared" si="0"/>
        <v>20004</v>
      </c>
      <c r="C18" s="2" t="s">
        <v>5</v>
      </c>
      <c r="D18" s="2">
        <v>0</v>
      </c>
      <c r="E18" s="2" t="s">
        <v>6</v>
      </c>
      <c r="F18" s="2">
        <v>24</v>
      </c>
      <c r="R18" s="7">
        <v>20034</v>
      </c>
      <c r="S18" s="1" t="s">
        <v>5</v>
      </c>
      <c r="T18" s="1">
        <v>0</v>
      </c>
      <c r="U18" s="1" t="s">
        <v>6</v>
      </c>
      <c r="V18" s="1">
        <v>24</v>
      </c>
    </row>
    <row r="19" spans="1:22" x14ac:dyDescent="0.3">
      <c r="A19" s="7" t="s">
        <v>124</v>
      </c>
      <c r="B19" s="10" t="str">
        <f t="shared" si="0"/>
        <v>20006</v>
      </c>
      <c r="C19" s="2" t="s">
        <v>5</v>
      </c>
      <c r="D19" s="1">
        <v>0</v>
      </c>
      <c r="E19" s="2" t="s">
        <v>6</v>
      </c>
      <c r="F19" s="2">
        <v>24</v>
      </c>
      <c r="R19" s="7">
        <v>20036</v>
      </c>
      <c r="S19" s="1" t="s">
        <v>5</v>
      </c>
      <c r="T19" s="1">
        <v>0</v>
      </c>
      <c r="U19" s="1" t="s">
        <v>6</v>
      </c>
      <c r="V19" s="1">
        <v>24</v>
      </c>
    </row>
    <row r="20" spans="1:22" x14ac:dyDescent="0.3">
      <c r="A20" s="7" t="s">
        <v>125</v>
      </c>
      <c r="B20" s="10" t="str">
        <f t="shared" si="0"/>
        <v>20008</v>
      </c>
      <c r="C20" s="1" t="s">
        <v>5</v>
      </c>
      <c r="D20" s="1">
        <v>0</v>
      </c>
      <c r="E20" s="1" t="s">
        <v>6</v>
      </c>
      <c r="F20" s="1">
        <v>24</v>
      </c>
      <c r="R20" s="7">
        <v>20038</v>
      </c>
      <c r="S20" s="1" t="s">
        <v>5</v>
      </c>
      <c r="T20" s="1">
        <v>0</v>
      </c>
      <c r="U20" s="1" t="s">
        <v>6</v>
      </c>
      <c r="V20" s="1">
        <v>24</v>
      </c>
    </row>
    <row r="21" spans="1:22" x14ac:dyDescent="0.3">
      <c r="A21" s="7" t="s">
        <v>126</v>
      </c>
      <c r="B21" s="10" t="str">
        <f t="shared" si="0"/>
        <v>20010</v>
      </c>
      <c r="C21" s="1" t="s">
        <v>5</v>
      </c>
      <c r="D21" s="1">
        <v>0</v>
      </c>
      <c r="E21" s="1" t="s">
        <v>6</v>
      </c>
      <c r="F21" s="1">
        <v>24</v>
      </c>
      <c r="R21" s="7">
        <v>20040</v>
      </c>
      <c r="S21" s="1" t="s">
        <v>5</v>
      </c>
      <c r="T21" s="1">
        <v>0</v>
      </c>
      <c r="U21" s="1" t="s">
        <v>6</v>
      </c>
      <c r="V21" s="1">
        <v>24</v>
      </c>
    </row>
    <row r="22" spans="1:22" x14ac:dyDescent="0.3">
      <c r="A22" s="7" t="s">
        <v>127</v>
      </c>
      <c r="B22" s="10" t="str">
        <f t="shared" si="0"/>
        <v>20012</v>
      </c>
      <c r="C22" s="1" t="s">
        <v>5</v>
      </c>
      <c r="D22" s="1">
        <v>0</v>
      </c>
      <c r="E22" s="1" t="s">
        <v>6</v>
      </c>
      <c r="F22" s="1">
        <v>24</v>
      </c>
      <c r="R22" s="7">
        <v>20042</v>
      </c>
      <c r="S22" s="1" t="s">
        <v>5</v>
      </c>
      <c r="T22" s="1">
        <v>0</v>
      </c>
      <c r="U22" s="1" t="s">
        <v>6</v>
      </c>
      <c r="V22" s="1">
        <v>24</v>
      </c>
    </row>
    <row r="23" spans="1:22" x14ac:dyDescent="0.3">
      <c r="A23" s="7" t="s">
        <v>128</v>
      </c>
      <c r="B23" s="10" t="str">
        <f t="shared" si="0"/>
        <v>20014</v>
      </c>
      <c r="C23" s="1" t="s">
        <v>5</v>
      </c>
      <c r="D23" s="1">
        <v>0</v>
      </c>
      <c r="E23" s="1" t="s">
        <v>6</v>
      </c>
      <c r="F23" s="1">
        <v>24</v>
      </c>
      <c r="R23" s="7">
        <v>20044</v>
      </c>
      <c r="S23" s="1" t="s">
        <v>5</v>
      </c>
      <c r="T23" s="1">
        <v>0</v>
      </c>
      <c r="U23" s="1" t="s">
        <v>6</v>
      </c>
      <c r="V23" s="1">
        <v>24</v>
      </c>
    </row>
    <row r="24" spans="1:22" x14ac:dyDescent="0.3">
      <c r="A24" s="7" t="s">
        <v>129</v>
      </c>
      <c r="B24" s="10" t="str">
        <f t="shared" si="0"/>
        <v>20016</v>
      </c>
      <c r="C24" s="1" t="s">
        <v>5</v>
      </c>
      <c r="D24" s="1">
        <v>0</v>
      </c>
      <c r="E24" s="1" t="s">
        <v>6</v>
      </c>
      <c r="F24" s="1">
        <v>24</v>
      </c>
      <c r="R24" s="7">
        <v>20046</v>
      </c>
      <c r="S24" s="1" t="s">
        <v>5</v>
      </c>
      <c r="T24" s="1">
        <v>0</v>
      </c>
      <c r="U24" s="1" t="s">
        <v>6</v>
      </c>
      <c r="V24" s="1">
        <v>24</v>
      </c>
    </row>
    <row r="25" spans="1:22" x14ac:dyDescent="0.3">
      <c r="A25" s="7" t="s">
        <v>130</v>
      </c>
      <c r="B25" s="10" t="str">
        <f t="shared" si="0"/>
        <v>20018</v>
      </c>
      <c r="C25" s="1" t="s">
        <v>5</v>
      </c>
      <c r="D25" s="1">
        <v>0</v>
      </c>
      <c r="E25" s="1" t="s">
        <v>6</v>
      </c>
      <c r="F25" s="1">
        <v>24</v>
      </c>
      <c r="R25" s="7">
        <v>20048</v>
      </c>
      <c r="S25" s="1" t="s">
        <v>5</v>
      </c>
      <c r="T25" s="1">
        <v>0</v>
      </c>
      <c r="U25" s="1" t="s">
        <v>6</v>
      </c>
      <c r="V25" s="1">
        <v>24</v>
      </c>
    </row>
    <row r="26" spans="1:22" x14ac:dyDescent="0.3">
      <c r="A26" s="7" t="s">
        <v>131</v>
      </c>
      <c r="B26" s="10" t="str">
        <f t="shared" si="0"/>
        <v>20020</v>
      </c>
      <c r="C26" s="1" t="s">
        <v>5</v>
      </c>
      <c r="D26" s="1">
        <v>0</v>
      </c>
      <c r="E26" s="1" t="s">
        <v>6</v>
      </c>
      <c r="F26" s="1">
        <v>24</v>
      </c>
      <c r="R26" s="7">
        <v>20050</v>
      </c>
      <c r="S26" s="1" t="s">
        <v>5</v>
      </c>
      <c r="T26" s="1">
        <v>0</v>
      </c>
      <c r="U26" s="1" t="s">
        <v>6</v>
      </c>
      <c r="V26" s="1">
        <v>24</v>
      </c>
    </row>
    <row r="27" spans="1:22" x14ac:dyDescent="0.3">
      <c r="A27" s="7" t="s">
        <v>132</v>
      </c>
      <c r="B27" s="10" t="str">
        <f t="shared" si="0"/>
        <v>20022</v>
      </c>
      <c r="C27" s="1" t="s">
        <v>5</v>
      </c>
      <c r="D27" s="1">
        <v>0</v>
      </c>
      <c r="E27" s="1" t="s">
        <v>6</v>
      </c>
      <c r="F27" s="1">
        <v>24</v>
      </c>
      <c r="R27" s="7">
        <v>20052</v>
      </c>
      <c r="S27" s="1" t="s">
        <v>5</v>
      </c>
      <c r="T27" s="1">
        <v>0</v>
      </c>
      <c r="U27" s="1" t="s">
        <v>6</v>
      </c>
      <c r="V27" s="1">
        <v>24</v>
      </c>
    </row>
    <row r="28" spans="1:22" x14ac:dyDescent="0.3">
      <c r="A28" s="7" t="s">
        <v>133</v>
      </c>
      <c r="B28" s="10" t="str">
        <f t="shared" si="0"/>
        <v>20024</v>
      </c>
      <c r="C28" s="1" t="s">
        <v>5</v>
      </c>
      <c r="D28" s="1">
        <v>0</v>
      </c>
      <c r="E28" s="1" t="s">
        <v>6</v>
      </c>
      <c r="F28" s="1">
        <v>24</v>
      </c>
      <c r="R28" s="7">
        <v>20054</v>
      </c>
      <c r="S28" s="1" t="s">
        <v>5</v>
      </c>
      <c r="T28" s="1">
        <v>0</v>
      </c>
      <c r="U28" s="1" t="s">
        <v>6</v>
      </c>
      <c r="V28" s="1">
        <v>24</v>
      </c>
    </row>
    <row r="29" spans="1:22" x14ac:dyDescent="0.3">
      <c r="A29" s="7" t="s">
        <v>134</v>
      </c>
      <c r="B29" s="10" t="str">
        <f t="shared" si="0"/>
        <v>20026</v>
      </c>
      <c r="C29" s="1" t="s">
        <v>5</v>
      </c>
      <c r="D29" s="1">
        <v>0</v>
      </c>
      <c r="E29" s="1" t="s">
        <v>6</v>
      </c>
      <c r="F29" s="1">
        <v>24</v>
      </c>
      <c r="R29" s="7">
        <v>20058</v>
      </c>
      <c r="S29" s="1" t="s">
        <v>5</v>
      </c>
      <c r="T29" s="1">
        <v>0</v>
      </c>
      <c r="U29" s="1" t="s">
        <v>6</v>
      </c>
      <c r="V29" s="1">
        <v>24</v>
      </c>
    </row>
    <row r="30" spans="1:22" x14ac:dyDescent="0.3">
      <c r="A30" s="7" t="s">
        <v>135</v>
      </c>
      <c r="B30" s="10" t="str">
        <f t="shared" si="0"/>
        <v>20028</v>
      </c>
      <c r="C30" s="1" t="s">
        <v>5</v>
      </c>
      <c r="D30" s="1">
        <v>0</v>
      </c>
      <c r="E30" s="1" t="s">
        <v>6</v>
      </c>
      <c r="F30" s="1">
        <v>24</v>
      </c>
      <c r="R30" s="7">
        <v>20060</v>
      </c>
      <c r="S30" s="1" t="s">
        <v>5</v>
      </c>
      <c r="T30" s="1">
        <v>0</v>
      </c>
      <c r="U30" s="1" t="s">
        <v>6</v>
      </c>
      <c r="V30" s="1">
        <v>24</v>
      </c>
    </row>
    <row r="31" spans="1:22" x14ac:dyDescent="0.3">
      <c r="A31" s="7" t="s">
        <v>136</v>
      </c>
      <c r="B31" s="10" t="str">
        <f t="shared" si="0"/>
        <v>20030</v>
      </c>
      <c r="C31" s="1" t="s">
        <v>5</v>
      </c>
      <c r="D31" s="1">
        <v>0</v>
      </c>
      <c r="E31" s="1" t="s">
        <v>6</v>
      </c>
      <c r="F31" s="1">
        <v>24</v>
      </c>
      <c r="R31" s="7">
        <v>21000</v>
      </c>
      <c r="S31" s="1" t="s">
        <v>5</v>
      </c>
      <c r="T31" s="1">
        <v>0</v>
      </c>
      <c r="U31" s="1" t="s">
        <v>6</v>
      </c>
      <c r="V31" s="1">
        <v>24</v>
      </c>
    </row>
    <row r="32" spans="1:22" x14ac:dyDescent="0.3">
      <c r="A32" s="7" t="s">
        <v>137</v>
      </c>
      <c r="B32" s="10" t="str">
        <f t="shared" si="0"/>
        <v>20032</v>
      </c>
      <c r="C32" s="1" t="s">
        <v>5</v>
      </c>
      <c r="D32" s="1">
        <v>0</v>
      </c>
      <c r="E32" s="1" t="s">
        <v>6</v>
      </c>
      <c r="F32" s="1">
        <v>24</v>
      </c>
      <c r="R32" s="7">
        <v>21002</v>
      </c>
      <c r="S32" s="1" t="s">
        <v>5</v>
      </c>
      <c r="T32" s="1">
        <v>0</v>
      </c>
      <c r="U32" s="1" t="s">
        <v>6</v>
      </c>
      <c r="V32" s="1">
        <v>24</v>
      </c>
    </row>
    <row r="33" spans="1:22" x14ac:dyDescent="0.3">
      <c r="A33" s="7" t="s">
        <v>138</v>
      </c>
      <c r="B33" s="10" t="str">
        <f t="shared" si="0"/>
        <v>20034</v>
      </c>
      <c r="C33" s="1" t="s">
        <v>5</v>
      </c>
      <c r="D33" s="1">
        <v>0</v>
      </c>
      <c r="E33" s="1" t="s">
        <v>6</v>
      </c>
      <c r="F33" s="1">
        <v>24</v>
      </c>
      <c r="R33" s="7">
        <v>21004</v>
      </c>
      <c r="S33" s="1" t="s">
        <v>5</v>
      </c>
      <c r="T33" s="1">
        <v>0</v>
      </c>
      <c r="U33" s="1" t="s">
        <v>6</v>
      </c>
      <c r="V33" s="1">
        <v>24</v>
      </c>
    </row>
    <row r="34" spans="1:22" x14ac:dyDescent="0.3">
      <c r="A34" s="7" t="s">
        <v>139</v>
      </c>
      <c r="B34" s="10" t="str">
        <f t="shared" si="0"/>
        <v>20036</v>
      </c>
      <c r="C34" s="1" t="s">
        <v>5</v>
      </c>
      <c r="D34" s="1">
        <v>0</v>
      </c>
      <c r="E34" s="1" t="s">
        <v>6</v>
      </c>
      <c r="F34" s="1">
        <v>24</v>
      </c>
      <c r="R34" s="7">
        <v>21006</v>
      </c>
      <c r="S34" s="1" t="s">
        <v>5</v>
      </c>
      <c r="T34" s="1">
        <v>0</v>
      </c>
      <c r="U34" s="1" t="s">
        <v>6</v>
      </c>
      <c r="V34" s="1">
        <v>24</v>
      </c>
    </row>
    <row r="35" spans="1:22" x14ac:dyDescent="0.3">
      <c r="A35" s="7" t="s">
        <v>140</v>
      </c>
      <c r="B35" s="10" t="str">
        <f t="shared" si="0"/>
        <v>20038</v>
      </c>
      <c r="C35" s="1" t="s">
        <v>5</v>
      </c>
      <c r="D35" s="1">
        <v>0</v>
      </c>
      <c r="E35" s="1" t="s">
        <v>6</v>
      </c>
      <c r="F35" s="1">
        <v>24</v>
      </c>
      <c r="R35" s="7">
        <v>21008</v>
      </c>
      <c r="S35" s="1" t="s">
        <v>5</v>
      </c>
      <c r="T35" s="1">
        <v>0</v>
      </c>
      <c r="U35" s="1" t="s">
        <v>6</v>
      </c>
      <c r="V35" s="1">
        <v>24</v>
      </c>
    </row>
    <row r="36" spans="1:22" x14ac:dyDescent="0.3">
      <c r="A36" s="7" t="s">
        <v>141</v>
      </c>
      <c r="B36" s="10" t="str">
        <f t="shared" si="0"/>
        <v>20040</v>
      </c>
      <c r="C36" s="1" t="s">
        <v>5</v>
      </c>
      <c r="D36" s="1">
        <v>0</v>
      </c>
      <c r="E36" s="1" t="s">
        <v>6</v>
      </c>
      <c r="F36" s="1">
        <v>24</v>
      </c>
      <c r="R36" s="7">
        <v>21010</v>
      </c>
      <c r="S36" s="1" t="s">
        <v>5</v>
      </c>
      <c r="T36" s="1">
        <v>0</v>
      </c>
      <c r="U36" s="1" t="s">
        <v>6</v>
      </c>
      <c r="V36" s="1">
        <v>24</v>
      </c>
    </row>
    <row r="37" spans="1:22" x14ac:dyDescent="0.3">
      <c r="A37" s="7" t="s">
        <v>142</v>
      </c>
      <c r="B37" s="10" t="str">
        <f t="shared" si="0"/>
        <v>20042</v>
      </c>
      <c r="C37" s="1" t="s">
        <v>5</v>
      </c>
      <c r="D37" s="1">
        <v>0</v>
      </c>
      <c r="E37" s="1" t="s">
        <v>6</v>
      </c>
      <c r="F37" s="1">
        <v>24</v>
      </c>
      <c r="R37" s="7">
        <v>21012</v>
      </c>
      <c r="S37" s="1" t="s">
        <v>5</v>
      </c>
      <c r="T37" s="1">
        <v>0</v>
      </c>
      <c r="U37" s="1" t="s">
        <v>6</v>
      </c>
      <c r="V37" s="1">
        <v>24</v>
      </c>
    </row>
    <row r="38" spans="1:22" x14ac:dyDescent="0.3">
      <c r="A38" s="7" t="s">
        <v>143</v>
      </c>
      <c r="B38" s="10" t="str">
        <f t="shared" si="0"/>
        <v>20044</v>
      </c>
      <c r="C38" s="1" t="s">
        <v>5</v>
      </c>
      <c r="D38" s="1">
        <v>0</v>
      </c>
      <c r="E38" s="1" t="s">
        <v>6</v>
      </c>
      <c r="F38" s="1">
        <v>24</v>
      </c>
      <c r="R38" s="7">
        <v>21014</v>
      </c>
      <c r="S38" s="1" t="s">
        <v>5</v>
      </c>
      <c r="T38" s="1">
        <v>0</v>
      </c>
      <c r="U38" s="1" t="s">
        <v>6</v>
      </c>
      <c r="V38" s="1">
        <v>24</v>
      </c>
    </row>
    <row r="39" spans="1:22" x14ac:dyDescent="0.3">
      <c r="A39" s="7" t="s">
        <v>144</v>
      </c>
      <c r="B39" s="10" t="str">
        <f t="shared" si="0"/>
        <v>20046</v>
      </c>
      <c r="C39" s="1" t="s">
        <v>5</v>
      </c>
      <c r="D39" s="1">
        <v>0</v>
      </c>
      <c r="E39" s="1" t="s">
        <v>6</v>
      </c>
      <c r="F39" s="1">
        <v>24</v>
      </c>
      <c r="R39" s="8">
        <v>21016</v>
      </c>
      <c r="S39" s="1" t="s">
        <v>5</v>
      </c>
      <c r="T39" s="1">
        <v>0</v>
      </c>
      <c r="U39" s="1" t="s">
        <v>6</v>
      </c>
      <c r="V39" s="1">
        <v>24</v>
      </c>
    </row>
    <row r="40" spans="1:22" x14ac:dyDescent="0.3">
      <c r="A40" s="7" t="s">
        <v>145</v>
      </c>
      <c r="B40" s="10" t="str">
        <f t="shared" si="0"/>
        <v>20048</v>
      </c>
      <c r="C40" s="1" t="s">
        <v>5</v>
      </c>
      <c r="D40" s="1">
        <v>0</v>
      </c>
      <c r="E40" s="1" t="s">
        <v>6</v>
      </c>
      <c r="F40" s="1">
        <v>24</v>
      </c>
    </row>
    <row r="41" spans="1:22" x14ac:dyDescent="0.3">
      <c r="A41" s="7" t="s">
        <v>146</v>
      </c>
      <c r="B41" s="10" t="str">
        <f t="shared" si="0"/>
        <v>20050</v>
      </c>
      <c r="C41" s="1" t="s">
        <v>5</v>
      </c>
      <c r="D41" s="1">
        <v>0</v>
      </c>
      <c r="E41" s="1" t="s">
        <v>6</v>
      </c>
      <c r="F41" s="1">
        <v>24</v>
      </c>
    </row>
    <row r="42" spans="1:22" x14ac:dyDescent="0.3">
      <c r="A42" s="7" t="s">
        <v>147</v>
      </c>
      <c r="B42" s="10" t="str">
        <f t="shared" si="0"/>
        <v>20052</v>
      </c>
      <c r="C42" s="1" t="s">
        <v>5</v>
      </c>
      <c r="D42" s="1">
        <v>0</v>
      </c>
      <c r="E42" s="1" t="s">
        <v>6</v>
      </c>
      <c r="F42" s="1">
        <v>24</v>
      </c>
    </row>
    <row r="43" spans="1:22" x14ac:dyDescent="0.3">
      <c r="A43" s="7" t="s">
        <v>148</v>
      </c>
      <c r="B43" s="10" t="str">
        <f t="shared" si="0"/>
        <v>20054</v>
      </c>
      <c r="C43" s="1" t="s">
        <v>5</v>
      </c>
      <c r="D43" s="1">
        <v>0</v>
      </c>
      <c r="E43" s="1" t="s">
        <v>6</v>
      </c>
      <c r="F43" s="1">
        <v>24</v>
      </c>
    </row>
    <row r="44" spans="1:22" x14ac:dyDescent="0.3">
      <c r="A44" s="7" t="s">
        <v>149</v>
      </c>
      <c r="B44" s="10" t="str">
        <f t="shared" si="0"/>
        <v>20058</v>
      </c>
      <c r="C44" s="1" t="s">
        <v>5</v>
      </c>
      <c r="D44" s="1">
        <v>0</v>
      </c>
      <c r="E44" s="1" t="s">
        <v>6</v>
      </c>
      <c r="F44" s="1">
        <v>24</v>
      </c>
    </row>
    <row r="45" spans="1:22" x14ac:dyDescent="0.3">
      <c r="A45" s="7" t="s">
        <v>150</v>
      </c>
      <c r="B45" s="10" t="str">
        <f t="shared" si="0"/>
        <v>20060</v>
      </c>
      <c r="C45" s="1" t="s">
        <v>5</v>
      </c>
      <c r="D45" s="1">
        <v>0</v>
      </c>
      <c r="E45" s="1" t="s">
        <v>6</v>
      </c>
      <c r="F45" s="1">
        <v>24</v>
      </c>
    </row>
    <row r="46" spans="1:22" x14ac:dyDescent="0.3">
      <c r="A46" s="7" t="s">
        <v>112</v>
      </c>
      <c r="B46" s="10" t="str">
        <f t="shared" si="0"/>
        <v>21000</v>
      </c>
      <c r="C46" s="1" t="s">
        <v>5</v>
      </c>
      <c r="D46" s="1">
        <v>0</v>
      </c>
      <c r="E46" s="1" t="s">
        <v>6</v>
      </c>
      <c r="F46" s="1">
        <v>24</v>
      </c>
    </row>
    <row r="47" spans="1:22" x14ac:dyDescent="0.3">
      <c r="A47" s="7" t="s">
        <v>113</v>
      </c>
      <c r="B47" s="10" t="str">
        <f t="shared" si="0"/>
        <v>21002</v>
      </c>
      <c r="C47" s="1" t="s">
        <v>5</v>
      </c>
      <c r="D47" s="1">
        <v>0</v>
      </c>
      <c r="E47" s="1" t="s">
        <v>6</v>
      </c>
      <c r="F47" s="1">
        <v>24</v>
      </c>
    </row>
    <row r="48" spans="1:22" x14ac:dyDescent="0.3">
      <c r="A48" s="7" t="s">
        <v>114</v>
      </c>
      <c r="B48" s="10" t="str">
        <f t="shared" si="0"/>
        <v>21004</v>
      </c>
      <c r="C48" s="1" t="s">
        <v>5</v>
      </c>
      <c r="D48" s="1">
        <v>0</v>
      </c>
      <c r="E48" s="1" t="s">
        <v>6</v>
      </c>
      <c r="F48" s="1">
        <v>24</v>
      </c>
    </row>
    <row r="49" spans="1:6" x14ac:dyDescent="0.3">
      <c r="A49" s="7" t="s">
        <v>115</v>
      </c>
      <c r="B49" s="10" t="str">
        <f t="shared" si="0"/>
        <v>21006</v>
      </c>
      <c r="C49" s="1" t="s">
        <v>5</v>
      </c>
      <c r="D49" s="1">
        <v>0</v>
      </c>
      <c r="E49" s="1" t="s">
        <v>6</v>
      </c>
      <c r="F49" s="1">
        <v>24</v>
      </c>
    </row>
    <row r="50" spans="1:6" x14ac:dyDescent="0.3">
      <c r="A50" s="7" t="s">
        <v>116</v>
      </c>
      <c r="B50" s="10" t="str">
        <f t="shared" si="0"/>
        <v>21008</v>
      </c>
      <c r="C50" s="1" t="s">
        <v>5</v>
      </c>
      <c r="D50" s="1">
        <v>0</v>
      </c>
      <c r="E50" s="1" t="s">
        <v>6</v>
      </c>
      <c r="F50" s="1">
        <v>24</v>
      </c>
    </row>
    <row r="51" spans="1:6" x14ac:dyDescent="0.3">
      <c r="A51" s="7" t="s">
        <v>117</v>
      </c>
      <c r="B51" s="10" t="str">
        <f t="shared" si="0"/>
        <v>21010</v>
      </c>
      <c r="C51" s="1" t="s">
        <v>5</v>
      </c>
      <c r="D51" s="1">
        <v>0</v>
      </c>
      <c r="E51" s="1" t="s">
        <v>6</v>
      </c>
      <c r="F51" s="1">
        <v>24</v>
      </c>
    </row>
    <row r="52" spans="1:6" x14ac:dyDescent="0.3">
      <c r="A52" s="7" t="s">
        <v>118</v>
      </c>
      <c r="B52" s="10" t="str">
        <f t="shared" si="0"/>
        <v>21012</v>
      </c>
      <c r="C52" s="1" t="s">
        <v>5</v>
      </c>
      <c r="D52" s="1">
        <v>0</v>
      </c>
      <c r="E52" s="1" t="s">
        <v>6</v>
      </c>
      <c r="F52" s="1">
        <v>24</v>
      </c>
    </row>
    <row r="53" spans="1:6" x14ac:dyDescent="0.3">
      <c r="A53" s="7" t="s">
        <v>119</v>
      </c>
      <c r="B53" s="10" t="str">
        <f t="shared" si="0"/>
        <v>21014</v>
      </c>
      <c r="C53" s="1" t="s">
        <v>5</v>
      </c>
      <c r="D53" s="1">
        <v>0</v>
      </c>
      <c r="E53" s="1" t="s">
        <v>6</v>
      </c>
      <c r="F53" s="1">
        <v>24</v>
      </c>
    </row>
    <row r="54" spans="1:6" x14ac:dyDescent="0.3">
      <c r="A54" s="8" t="s">
        <v>120</v>
      </c>
      <c r="B54" s="10" t="str">
        <f t="shared" si="0"/>
        <v>21016</v>
      </c>
      <c r="C54" s="1" t="s">
        <v>5</v>
      </c>
      <c r="D54" s="11">
        <v>0</v>
      </c>
      <c r="E54" s="1" t="s">
        <v>6</v>
      </c>
      <c r="F54" s="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12" sqref="D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39" t="s">
        <v>85</v>
      </c>
      <c r="B1" s="38" t="s">
        <v>167</v>
      </c>
    </row>
    <row r="2" spans="1:4" ht="18" x14ac:dyDescent="0.35">
      <c r="B2" s="37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187</v>
      </c>
    </row>
    <row r="7" spans="1:4" ht="14.4" x14ac:dyDescent="0.3">
      <c r="A7" s="3" t="s">
        <v>153</v>
      </c>
      <c r="B7" s="1" t="s">
        <v>188</v>
      </c>
    </row>
    <row r="10" spans="1:4" ht="23.4" x14ac:dyDescent="0.45">
      <c r="A10" s="16" t="s">
        <v>162</v>
      </c>
    </row>
    <row r="11" spans="1:4" ht="14.4" x14ac:dyDescent="0.3">
      <c r="A11" s="29" t="s">
        <v>86</v>
      </c>
      <c r="B11" s="15" t="s">
        <v>87</v>
      </c>
      <c r="C11" s="15" t="s">
        <v>88</v>
      </c>
      <c r="D11" s="46" t="s">
        <v>185</v>
      </c>
    </row>
    <row r="12" spans="1:4" ht="14.4" x14ac:dyDescent="0.3">
      <c r="A12" s="29">
        <v>44927</v>
      </c>
      <c r="B12" s="15" t="s">
        <v>59</v>
      </c>
      <c r="C12" s="15">
        <v>200</v>
      </c>
      <c r="D12" s="46">
        <f>IFERROR(C12,20)</f>
        <v>200</v>
      </c>
    </row>
    <row r="13" spans="1:4" ht="14.4" x14ac:dyDescent="0.3">
      <c r="A13" s="29">
        <v>44928</v>
      </c>
      <c r="B13" s="15" t="s">
        <v>60</v>
      </c>
      <c r="C13" s="15" t="e">
        <v>#N/A</v>
      </c>
      <c r="D13" s="46">
        <f t="shared" ref="D13:D21" si="0">IFERROR(C13,20)</f>
        <v>20</v>
      </c>
    </row>
    <row r="14" spans="1:4" ht="14.4" x14ac:dyDescent="0.3">
      <c r="A14" s="29">
        <v>44929</v>
      </c>
      <c r="B14" s="15" t="s">
        <v>61</v>
      </c>
      <c r="C14" s="15">
        <v>50</v>
      </c>
      <c r="D14" s="46">
        <f t="shared" si="0"/>
        <v>50</v>
      </c>
    </row>
    <row r="15" spans="1:4" ht="14.4" x14ac:dyDescent="0.3">
      <c r="A15" s="29">
        <v>44930</v>
      </c>
      <c r="B15" s="15" t="s">
        <v>62</v>
      </c>
      <c r="C15" s="15" t="e">
        <v>#N/A</v>
      </c>
      <c r="D15" s="46">
        <f t="shared" si="0"/>
        <v>20</v>
      </c>
    </row>
    <row r="16" spans="1:4" ht="14.4" x14ac:dyDescent="0.3">
      <c r="A16" s="29">
        <v>44931</v>
      </c>
      <c r="B16" s="15" t="s">
        <v>63</v>
      </c>
      <c r="C16" s="15">
        <v>10</v>
      </c>
      <c r="D16" s="46">
        <f t="shared" si="0"/>
        <v>10</v>
      </c>
    </row>
    <row r="17" spans="1:4" ht="14.4" x14ac:dyDescent="0.3">
      <c r="A17" s="29">
        <v>44932</v>
      </c>
      <c r="B17" s="15" t="s">
        <v>154</v>
      </c>
      <c r="C17" s="15">
        <v>150</v>
      </c>
      <c r="D17" s="46">
        <f t="shared" si="0"/>
        <v>150</v>
      </c>
    </row>
    <row r="18" spans="1:4" ht="14.4" x14ac:dyDescent="0.3">
      <c r="A18" s="29">
        <v>44933</v>
      </c>
      <c r="B18" s="15" t="s">
        <v>155</v>
      </c>
      <c r="C18" s="15">
        <v>80</v>
      </c>
      <c r="D18" s="46">
        <f t="shared" si="0"/>
        <v>80</v>
      </c>
    </row>
    <row r="19" spans="1:4" ht="14.4" x14ac:dyDescent="0.3">
      <c r="A19" s="29">
        <v>44934</v>
      </c>
      <c r="B19" s="15" t="s">
        <v>156</v>
      </c>
      <c r="C19" s="15" t="e">
        <v>#N/A</v>
      </c>
      <c r="D19" s="46">
        <f t="shared" si="0"/>
        <v>20</v>
      </c>
    </row>
    <row r="20" spans="1:4" ht="14.4" x14ac:dyDescent="0.3">
      <c r="A20" s="29">
        <v>44935</v>
      </c>
      <c r="B20" s="15" t="s">
        <v>157</v>
      </c>
      <c r="C20" s="15">
        <v>30</v>
      </c>
      <c r="D20" s="46">
        <f t="shared" si="0"/>
        <v>30</v>
      </c>
    </row>
    <row r="21" spans="1:4" ht="14.4" x14ac:dyDescent="0.3">
      <c r="A21" s="29">
        <v>44936</v>
      </c>
      <c r="B21" s="15" t="s">
        <v>158</v>
      </c>
      <c r="C21" s="15" t="e">
        <v>#N/A</v>
      </c>
      <c r="D21" s="46">
        <f t="shared" si="0"/>
        <v>20</v>
      </c>
    </row>
    <row r="22" spans="1:4" ht="14.4" x14ac:dyDescent="0.3">
      <c r="B22" s="15" t="s">
        <v>159</v>
      </c>
      <c r="C22" s="23"/>
      <c r="D22" s="46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A21" sqref="A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175</v>
      </c>
    </row>
    <row r="3" spans="1:14" ht="14.4" x14ac:dyDescent="0.3">
      <c r="B3" s="1" t="s">
        <v>151</v>
      </c>
    </row>
    <row r="4" spans="1:14" ht="18" x14ac:dyDescent="0.35">
      <c r="A4" s="40" t="s">
        <v>53</v>
      </c>
      <c r="B4" s="1"/>
      <c r="C4" s="2" t="s">
        <v>186</v>
      </c>
    </row>
    <row r="5" spans="1:14" ht="18" x14ac:dyDescent="0.35">
      <c r="A5" s="40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  <c r="M21" s="2" t="e">
        <f>M9:N18</f>
        <v>#VALUE!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>
        <f>INDEX($M$9:$N$18, MATCH($A10, $A$9:$A$18, 0), MATCH(B$9, $B$9:$J$9, 0))</f>
        <v>10100</v>
      </c>
    </row>
    <row r="24" spans="1:14" ht="14.4" x14ac:dyDescent="0.3">
      <c r="A24" s="7">
        <v>10100</v>
      </c>
      <c r="B24" s="10">
        <v>10104</v>
      </c>
      <c r="C24" s="41">
        <f t="shared" ref="C24:C35" si="0">INDEX($M$9:$N$18, MATCH($A11, $A$9:$A$18, 0), MATCH(B$9, $B$9:$J$9, 0))</f>
        <v>10102</v>
      </c>
    </row>
    <row r="25" spans="1:14" ht="14.4" x14ac:dyDescent="0.3">
      <c r="A25" s="7">
        <v>10108</v>
      </c>
      <c r="B25" s="10">
        <v>10102</v>
      </c>
      <c r="C25" s="41">
        <f t="shared" si="0"/>
        <v>10104</v>
      </c>
    </row>
    <row r="26" spans="1:14" ht="14.4" x14ac:dyDescent="0.3">
      <c r="A26" s="7">
        <v>10100</v>
      </c>
      <c r="B26" s="10">
        <v>10106</v>
      </c>
      <c r="C26" s="41">
        <f t="shared" si="0"/>
        <v>10106</v>
      </c>
    </row>
    <row r="27" spans="1:14" ht="14.4" x14ac:dyDescent="0.3">
      <c r="A27" s="7">
        <v>10108</v>
      </c>
      <c r="B27" s="10">
        <v>10110</v>
      </c>
      <c r="C27" s="41">
        <f t="shared" si="0"/>
        <v>10108</v>
      </c>
    </row>
    <row r="28" spans="1:14" ht="14.4" x14ac:dyDescent="0.3">
      <c r="A28" s="7">
        <v>10102</v>
      </c>
      <c r="B28" s="10">
        <v>10104</v>
      </c>
      <c r="C28" s="41">
        <f t="shared" si="0"/>
        <v>10110</v>
      </c>
    </row>
    <row r="29" spans="1:14" ht="14.4" x14ac:dyDescent="0.3">
      <c r="A29" s="7">
        <v>10106</v>
      </c>
      <c r="B29" s="10">
        <v>10108</v>
      </c>
      <c r="C29" s="41">
        <f t="shared" si="0"/>
        <v>10112</v>
      </c>
    </row>
    <row r="30" spans="1:14" ht="14.4" x14ac:dyDescent="0.3">
      <c r="A30" s="7">
        <v>10102</v>
      </c>
      <c r="B30" s="10">
        <v>10106</v>
      </c>
      <c r="C30" s="41">
        <f t="shared" si="0"/>
        <v>10114</v>
      </c>
    </row>
    <row r="31" spans="1:14" ht="14.4" x14ac:dyDescent="0.3">
      <c r="A31" s="7">
        <v>10110</v>
      </c>
      <c r="B31" s="10">
        <v>10114</v>
      </c>
      <c r="C31" s="41">
        <f t="shared" si="0"/>
        <v>10116</v>
      </c>
    </row>
    <row r="32" spans="1:14" ht="14.4" x14ac:dyDescent="0.3">
      <c r="A32" s="7">
        <v>10104</v>
      </c>
      <c r="B32" s="10">
        <v>10106</v>
      </c>
      <c r="C32" s="41" t="e">
        <f t="shared" si="0"/>
        <v>#N/A</v>
      </c>
    </row>
    <row r="33" spans="1:3" ht="14.4" x14ac:dyDescent="0.3">
      <c r="A33" s="7">
        <v>10110</v>
      </c>
      <c r="B33" s="10">
        <v>10112</v>
      </c>
      <c r="C33" s="41" t="e">
        <f t="shared" si="0"/>
        <v>#N/A</v>
      </c>
    </row>
    <row r="34" spans="1:3" ht="14.4" x14ac:dyDescent="0.3">
      <c r="A34" s="7">
        <v>10100</v>
      </c>
      <c r="B34" s="10">
        <v>10114</v>
      </c>
      <c r="C34" s="41" t="e">
        <f t="shared" si="0"/>
        <v>#N/A</v>
      </c>
    </row>
    <row r="35" spans="1:3" ht="14.4" x14ac:dyDescent="0.3">
      <c r="A35" s="8">
        <v>10112</v>
      </c>
      <c r="B35" s="11">
        <v>10116</v>
      </c>
      <c r="C35" s="41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Bhabani Swain</cp:lastModifiedBy>
  <dcterms:created xsi:type="dcterms:W3CDTF">2015-02-10T17:33:11Z</dcterms:created>
  <dcterms:modified xsi:type="dcterms:W3CDTF">2023-12-09T10:48:27Z</dcterms:modified>
</cp:coreProperties>
</file>